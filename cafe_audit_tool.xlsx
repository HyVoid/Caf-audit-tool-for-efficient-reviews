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up_Parameters" sheetId="1" state="visible" r:id="rId1"/>
    <sheet xmlns:r="http://schemas.openxmlformats.org/officeDocument/2006/relationships" name="Input_Data" sheetId="2" state="visible" r:id="rId2"/>
    <sheet xmlns:r="http://schemas.openxmlformats.org/officeDocument/2006/relationships" name="Calc_Engine" sheetId="3" state="hidden" r:id="rId3"/>
    <sheet xmlns:r="http://schemas.openxmlformats.org/officeDocument/2006/relationships" name="Dashboard_Report" sheetId="4" state="visible" r:id="rId4"/>
  </sheets>
  <definedNames>
    <definedName name="Store_Type">'Setup_Parameters'!$B$4</definedName>
    <definedName name="ASP_Value">'Setup_Parameters'!$E$4</definedName>
    <definedName name="Speed_Weights">'Setup_Parameters'!$B$8:$B$10</definedName>
    <definedName name="Space_Weights">'Setup_Parameters'!$C$8:$C$10</definedName>
    <definedName name="Benchmark_Scores">'Setup_Parameters'!$B$14:$B$16</definedName>
    <definedName name="Overall_Score">'Calc_Engine'!$B$11</definedName>
    <definedName name="Performance_Grade">'Calc_Engine'!$B$12</definedName>
    <definedName name="Monthly_Leakage">'Calc_Engine'!$B$17</definedName>
    <definedName name="Metric_Report_Range">'Calc_Engine'!$A$21:$E$32</definedName>
    <definedName name="Red_Flag_Vector">'Calc_Engine'!$F$21:$F$32</definedName>
    <definedName name="CX_Score_Overall">'Calc_Engine'!$E$5</definedName>
    <definedName name="Ops_Score_Overall">'Calc_Engine'!$E$6</definedName>
    <definedName name="Rev_Score_Overall">'Calc_Engine'!$E$7</definedName>
    <definedName name="Lost_Customers_Daily">'Input_Data'!$D$51</definedName>
    <definedName name="_xlnm.Print_Area" localSheetId="3">'Dashboard_Report'!$A$1:$H$45</definedName>
  </definedNames>
  <calcPr calcId="124519" fullCalcOnLoad="1"/>
</workbook>
</file>

<file path=xl/styles.xml><?xml version="1.0" encoding="utf-8"?>
<styleSheet xmlns="http://schemas.openxmlformats.org/spreadsheetml/2006/main">
  <numFmts count="3">
    <numFmt numFmtId="164" formatCode="&quot;$&quot;#,##0.00"/>
    <numFmt numFmtId="165" formatCode="0.0"/>
    <numFmt numFmtId="166" formatCode="DD-MMM-YYYY"/>
  </numFmts>
  <fonts count="34">
    <font>
      <name val="Calibri"/>
      <family val="2"/>
      <color theme="1"/>
      <sz val="11"/>
      <scheme val="minor"/>
    </font>
    <font>
      <name val="Garamond"/>
      <b val="1"/>
      <color rgb="00F5F5F2"/>
      <sz val="13"/>
    </font>
    <font>
      <name val="Garamond"/>
      <b val="1"/>
      <color rgb="00F5F5F2"/>
      <sz val="10"/>
    </font>
    <font>
      <name val="Garamond"/>
      <color rgb="00888888"/>
      <sz val="10"/>
    </font>
    <font>
      <name val="Garamond"/>
      <b val="1"/>
      <color rgb="002251FF"/>
      <sz val="10"/>
    </font>
    <font>
      <name val="Garamond"/>
      <b val="1"/>
      <color rgb="00051C2C"/>
      <sz val="10"/>
    </font>
    <font>
      <name val="Garamond"/>
      <color rgb="00888888"/>
      <sz val="9"/>
    </font>
    <font>
      <name val="Garamond"/>
      <color rgb="00051C2C"/>
      <sz val="10"/>
    </font>
    <font>
      <name val="Garamond"/>
      <color rgb="002251FF"/>
      <sz val="10"/>
    </font>
    <font>
      <name val="Garamond"/>
      <b val="1"/>
      <color rgb="00F5F5F2"/>
      <sz val="11"/>
    </font>
    <font>
      <name val="Garamond"/>
      <b val="1"/>
      <color rgb="00FFFFFF"/>
      <sz val="10"/>
    </font>
    <font>
      <name val="Garamond"/>
      <color rgb="00051C2C"/>
      <sz val="9"/>
    </font>
    <font>
      <name val="Garamond"/>
      <b val="1"/>
      <color rgb="00F5F5F2"/>
      <sz val="12"/>
    </font>
    <font>
      <name val="Garamond"/>
      <b val="1"/>
      <color rgb="00F5F5F2"/>
      <sz val="9"/>
    </font>
    <font>
      <name val="Garamond"/>
      <b val="1"/>
      <color rgb="002251FF"/>
      <sz val="11"/>
    </font>
    <font>
      <name val="Garamond"/>
      <i val="1"/>
      <color rgb="00888888"/>
      <sz val="8"/>
    </font>
    <font>
      <name val="Garamond"/>
      <b val="1"/>
      <color rgb="00051C2C"/>
      <sz val="14"/>
    </font>
    <font>
      <name val="Garamond"/>
      <i val="1"/>
      <color rgb="00051C2C"/>
      <sz val="9"/>
    </font>
    <font>
      <name val="Garamond"/>
      <b val="1"/>
      <color rgb="00134E64"/>
      <sz val="10"/>
    </font>
    <font>
      <name val="Garamond"/>
      <i val="1"/>
      <color rgb="00888888"/>
      <sz val="9"/>
    </font>
    <font>
      <name val="Garamond"/>
      <b val="1"/>
      <color rgb="002251FF"/>
      <sz val="12"/>
    </font>
    <font>
      <name val="Garamond"/>
      <i val="1"/>
      <color rgb="00888888"/>
      <sz val="10"/>
    </font>
    <font>
      <name val="Garamond"/>
      <b val="1"/>
      <color rgb="00051C2C"/>
      <sz val="18"/>
    </font>
    <font>
      <name val="Garamond"/>
      <b val="1"/>
      <color rgb="002251FF"/>
      <sz val="18"/>
    </font>
    <font>
      <name val="Garamond"/>
      <b val="1"/>
      <color rgb="00D32F2F"/>
      <sz val="10"/>
    </font>
    <font>
      <name val="Garamond"/>
      <b val="1"/>
      <color rgb="00D32F2F"/>
      <sz val="12"/>
    </font>
    <font>
      <name val="Garamond"/>
      <b val="1"/>
      <color rgb="00051C2C"/>
      <sz val="11"/>
    </font>
    <font>
      <name val="Garamond"/>
      <b val="1"/>
      <color rgb="00F5F5F2"/>
      <sz val="14"/>
    </font>
    <font>
      <name val="Garamond"/>
      <color rgb="00F5F5F2"/>
      <sz val="9"/>
    </font>
    <font>
      <name val="Garamond"/>
      <b val="1"/>
      <color rgb="00888888"/>
      <sz val="9"/>
    </font>
    <font>
      <name val="Garamond"/>
      <b val="1"/>
      <color rgb="00051C2C"/>
      <sz val="28"/>
    </font>
    <font>
      <name val="Garamond"/>
      <b val="1"/>
      <color rgb="002251FF"/>
      <sz val="42"/>
    </font>
    <font>
      <name val="Garamond"/>
      <b val="1"/>
      <color rgb="00D32F2F"/>
      <sz val="22"/>
    </font>
    <font>
      <name val="Garamond"/>
      <i val="1"/>
      <color rgb="00555555"/>
      <sz val="8"/>
    </font>
  </fonts>
  <fills count="11">
    <fill>
      <patternFill/>
    </fill>
    <fill>
      <patternFill patternType="gray125"/>
    </fill>
    <fill>
      <patternFill patternType="solid">
        <fgColor rgb="00051C2C"/>
      </patternFill>
    </fill>
    <fill>
      <patternFill patternType="solid">
        <fgColor rgb="00134E64"/>
      </patternFill>
    </fill>
    <fill>
      <patternFill patternType="solid">
        <fgColor rgb="00FFFDE7"/>
      </patternFill>
    </fill>
    <fill>
      <patternFill patternType="solid">
        <fgColor rgb="00F5F5F2"/>
      </patternFill>
    </fill>
    <fill>
      <patternFill patternType="solid">
        <fgColor rgb="00FFFFFF"/>
      </patternFill>
    </fill>
    <fill>
      <patternFill patternType="solid">
        <fgColor rgb="002251FF"/>
      </patternFill>
    </fill>
    <fill>
      <patternFill patternType="solid">
        <fgColor rgb="00EEF2FF"/>
      </patternFill>
    </fill>
    <fill>
      <patternFill patternType="solid">
        <fgColor rgb="00D32F2F"/>
      </patternFill>
    </fill>
    <fill>
      <patternFill patternType="solid">
        <fgColor rgb="00D9D9D9"/>
      </patternFill>
    </fill>
  </fills>
  <borders count="9">
    <border>
      <left/>
      <right/>
      <top/>
      <bottom/>
      <diagonal/>
    </border>
    <border>
      <left style="thin">
        <color rgb="00888888"/>
      </left>
      <right style="thin">
        <color rgb="00888888"/>
      </right>
      <top style="thin">
        <color rgb="00888888"/>
      </top>
      <bottom style="thin">
        <color rgb="00888888"/>
      </bottom>
    </border>
    <border>
      <left style="medium">
        <color rgb="002251FF"/>
      </left>
      <right style="medium">
        <color rgb="002251FF"/>
      </right>
      <top style="medium">
        <color rgb="002251FF"/>
      </top>
      <bottom style="medium">
        <color rgb="002251FF"/>
      </bottom>
    </border>
    <border>
      <left style="thin">
        <color rgb="002251FF"/>
      </left>
      <right style="thin">
        <color rgb="002251FF"/>
      </right>
      <top style="thin">
        <color rgb="002251FF"/>
      </top>
      <bottom style="thin">
        <color rgb="002251FF"/>
      </bottom>
    </border>
    <border>
      <left style="medium">
        <color rgb="00D32F2F"/>
      </left>
      <right style="medium">
        <color rgb="00D32F2F"/>
      </right>
      <top style="medium">
        <color rgb="00D32F2F"/>
      </top>
      <bottom style="medium">
        <color rgb="00D32F2F"/>
      </bottom>
    </border>
    <border>
      <left style="medium">
        <color rgb="00051C2C"/>
      </left>
      <right style="thin">
        <color rgb="00888888"/>
      </right>
      <top style="medium">
        <color rgb="00051C2C"/>
      </top>
      <bottom style="thin">
        <color rgb="00888888"/>
      </bottom>
    </border>
    <border>
      <left style="thin">
        <color rgb="00888888"/>
      </left>
      <right style="thin">
        <color rgb="00888888"/>
      </right>
      <top style="medium">
        <color rgb="00051C2C"/>
      </top>
      <bottom style="thin">
        <color rgb="00888888"/>
      </bottom>
    </border>
    <border>
      <left style="thin">
        <color rgb="00888888"/>
      </left>
      <right style="medium">
        <color rgb="00051C2C"/>
      </right>
      <top style="medium">
        <color rgb="00051C2C"/>
      </top>
      <bottom style="thin">
        <color rgb="00888888"/>
      </bottom>
    </border>
    <border>
      <left style="medium">
        <color rgb="00808080"/>
      </left>
      <right style="medium">
        <color rgb="00808080"/>
      </right>
      <top style="medium">
        <color rgb="00808080"/>
      </top>
      <bottom style="medium">
        <color rgb="00808080"/>
      </bottom>
    </border>
  </borders>
  <cellStyleXfs count="1">
    <xf numFmtId="0" fontId="0" fillId="0" borderId="0"/>
  </cellStyleXfs>
  <cellXfs count="74">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2" fillId="2" borderId="1" applyAlignment="1" pivotButton="0" quotePrefix="0" xfId="0">
      <alignment horizontal="left" vertical="center"/>
    </xf>
    <xf numFmtId="0" fontId="4" fillId="4" borderId="2" applyAlignment="1" pivotButton="0" quotePrefix="0" xfId="0">
      <alignment horizontal="center" vertical="center"/>
    </xf>
    <xf numFmtId="0" fontId="3" fillId="2" borderId="1" applyAlignment="1" pivotButton="0" quotePrefix="0" xfId="0">
      <alignment horizontal="left" vertical="center"/>
    </xf>
    <xf numFmtId="164" fontId="5" fillId="4" borderId="2" applyAlignment="1" pivotButton="0" quotePrefix="0" xfId="0">
      <alignment horizontal="center" vertical="center"/>
    </xf>
    <xf numFmtId="0" fontId="2" fillId="2" borderId="1" applyAlignment="1" pivotButton="0" quotePrefix="0" xfId="0">
      <alignment horizontal="center" vertical="center"/>
    </xf>
    <xf numFmtId="0" fontId="5" fillId="5" borderId="1" applyAlignment="1" pivotButton="0" quotePrefix="0" xfId="0">
      <alignment horizontal="left" vertical="center"/>
    </xf>
    <xf numFmtId="9" fontId="4" fillId="5" borderId="1" applyAlignment="1" pivotButton="0" quotePrefix="0" xfId="0">
      <alignment horizontal="center" vertical="center"/>
    </xf>
    <xf numFmtId="0" fontId="6" fillId="5" borderId="1" applyAlignment="1" pivotButton="0" quotePrefix="0" xfId="0">
      <alignment horizontal="left" vertical="center"/>
    </xf>
    <xf numFmtId="0" fontId="5" fillId="6" borderId="1" applyAlignment="1" pivotButton="0" quotePrefix="0" xfId="0">
      <alignment horizontal="left" vertical="center"/>
    </xf>
    <xf numFmtId="9" fontId="4" fillId="6" borderId="1" applyAlignment="1" pivotButton="0" quotePrefix="0" xfId="0">
      <alignment horizontal="center" vertical="center"/>
    </xf>
    <xf numFmtId="0" fontId="6" fillId="6" borderId="1" applyAlignment="1" pivotButton="0" quotePrefix="0" xfId="0">
      <alignment horizontal="left" vertical="center"/>
    </xf>
    <xf numFmtId="0" fontId="7" fillId="5" borderId="1" applyAlignment="1" pivotButton="0" quotePrefix="0" xfId="0">
      <alignment horizontal="left" vertical="center"/>
    </xf>
    <xf numFmtId="165" fontId="4" fillId="5" borderId="1" applyAlignment="1" pivotButton="0" quotePrefix="0" xfId="0">
      <alignment horizontal="center" vertical="center"/>
    </xf>
    <xf numFmtId="0" fontId="7" fillId="6" borderId="1" applyAlignment="1" pivotButton="0" quotePrefix="0" xfId="0">
      <alignment horizontal="left" vertical="center"/>
    </xf>
    <xf numFmtId="165" fontId="4" fillId="6" borderId="1" applyAlignment="1" pivotButton="0" quotePrefix="0" xfId="0">
      <alignment horizontal="center" vertical="center"/>
    </xf>
    <xf numFmtId="0" fontId="5" fillId="5" borderId="1" applyAlignment="1" pivotButton="0" quotePrefix="0" xfId="0">
      <alignment horizontal="center" vertical="center"/>
    </xf>
    <xf numFmtId="0" fontId="8" fillId="5" borderId="1" applyAlignment="1" pivotButton="0" quotePrefix="0" xfId="0">
      <alignment horizontal="center" vertical="center"/>
    </xf>
    <xf numFmtId="0" fontId="6" fillId="5" borderId="1" applyAlignment="1" pivotButton="0" quotePrefix="0" xfId="0">
      <alignment horizontal="left" vertical="center" wrapText="1"/>
    </xf>
    <xf numFmtId="0" fontId="5" fillId="6" borderId="1" applyAlignment="1" pivotButton="0" quotePrefix="0" xfId="0">
      <alignment horizontal="center" vertical="center"/>
    </xf>
    <xf numFmtId="0" fontId="8" fillId="6" borderId="1" applyAlignment="1" pivotButton="0" quotePrefix="0" xfId="0">
      <alignment horizontal="center" vertical="center"/>
    </xf>
    <xf numFmtId="0" fontId="6" fillId="6" borderId="1" applyAlignment="1" pivotButton="0" quotePrefix="0" xfId="0">
      <alignment horizontal="left" vertical="center" wrapText="1"/>
    </xf>
    <xf numFmtId="0" fontId="9" fillId="2" borderId="0" applyAlignment="1" pivotButton="0" quotePrefix="0" xfId="0">
      <alignment horizontal="left" vertical="center"/>
    </xf>
    <xf numFmtId="0" fontId="10" fillId="7" borderId="1" applyAlignment="1" pivotButton="0" quotePrefix="0" xfId="0">
      <alignment horizontal="center" vertical="center"/>
    </xf>
    <xf numFmtId="0" fontId="11" fillId="6" borderId="1" applyAlignment="1" pivotButton="0" quotePrefix="0" xfId="0">
      <alignment horizontal="left" vertical="center" wrapText="1"/>
    </xf>
    <xf numFmtId="0" fontId="11" fillId="5" borderId="1" applyAlignment="1" pivotButton="0" quotePrefix="0" xfId="0">
      <alignment horizontal="left" vertical="center" wrapText="1"/>
    </xf>
    <xf numFmtId="0" fontId="12" fillId="2" borderId="0" applyAlignment="1" pivotButton="0" quotePrefix="0" xfId="0">
      <alignment horizontal="left" vertical="center"/>
    </xf>
    <xf numFmtId="0" fontId="13" fillId="2" borderId="0" applyAlignment="1" pivotButton="0" quotePrefix="0" xfId="0">
      <alignment horizontal="right" vertical="center"/>
    </xf>
    <xf numFmtId="0" fontId="7" fillId="4" borderId="2" applyAlignment="1" pivotButton="0" quotePrefix="0" xfId="0">
      <alignment horizontal="left" vertical="center"/>
    </xf>
    <xf numFmtId="166" fontId="7" fillId="4" borderId="2" applyAlignment="1" pivotButton="0" quotePrefix="0" xfId="0">
      <alignment horizontal="left" vertical="center"/>
    </xf>
    <xf numFmtId="0" fontId="14" fillId="8" borderId="3" applyAlignment="1" pivotButton="0" quotePrefix="0" xfId="0">
      <alignment horizontal="center" vertical="center"/>
    </xf>
    <xf numFmtId="0" fontId="15" fillId="5" borderId="0" applyAlignment="1" pivotButton="0" quotePrefix="0" xfId="0">
      <alignment horizontal="left" vertical="center"/>
    </xf>
    <xf numFmtId="0" fontId="2" fillId="7" borderId="0" applyAlignment="1" pivotButton="0" quotePrefix="0" xfId="0">
      <alignment horizontal="left" vertical="center"/>
    </xf>
    <xf numFmtId="0" fontId="4" fillId="5" borderId="1" applyAlignment="1" pivotButton="0" quotePrefix="0" xfId="0">
      <alignment horizontal="center" vertical="center"/>
    </xf>
    <xf numFmtId="0" fontId="16" fillId="4" borderId="2" applyAlignment="1" pivotButton="0" quotePrefix="0" xfId="0">
      <alignment horizontal="center" vertical="center"/>
    </xf>
    <xf numFmtId="0" fontId="17" fillId="8" borderId="1" applyAlignment="1" pivotButton="0" quotePrefix="0" xfId="0">
      <alignment horizontal="left" vertical="center" wrapText="1"/>
    </xf>
    <xf numFmtId="0" fontId="11" fillId="4" borderId="1" applyAlignment="1" pivotButton="0" quotePrefix="0" xfId="0">
      <alignment horizontal="left" vertical="center" wrapText="1"/>
    </xf>
    <xf numFmtId="0" fontId="4" fillId="6" borderId="1" applyAlignment="1" pivotButton="0" quotePrefix="0" xfId="0">
      <alignment horizontal="center" vertical="center"/>
    </xf>
    <xf numFmtId="0" fontId="18" fillId="5" borderId="1" applyAlignment="1" pivotButton="0" quotePrefix="0" xfId="0">
      <alignment horizontal="center" vertical="center"/>
    </xf>
    <xf numFmtId="0" fontId="18" fillId="6" borderId="1" applyAlignment="1" pivotButton="0" quotePrefix="0" xfId="0">
      <alignment horizontal="center" vertical="center"/>
    </xf>
    <xf numFmtId="0" fontId="2" fillId="2" borderId="0" applyAlignment="1" pivotButton="0" quotePrefix="0" xfId="0">
      <alignment horizontal="right" vertical="center"/>
    </xf>
    <xf numFmtId="0" fontId="19" fillId="5" borderId="0" applyAlignment="1" pivotButton="0" quotePrefix="0" xfId="0">
      <alignment horizontal="left" vertical="center" wrapText="1"/>
    </xf>
    <xf numFmtId="0" fontId="9" fillId="3" borderId="0" applyAlignment="1" pivotButton="0" quotePrefix="0" xfId="0">
      <alignment horizontal="left" vertical="center"/>
    </xf>
    <xf numFmtId="0" fontId="19" fillId="5" borderId="0" pivotButton="0" quotePrefix="0" xfId="0"/>
    <xf numFmtId="2" fontId="7" fillId="5" borderId="1" applyAlignment="1" pivotButton="0" quotePrefix="0" xfId="0">
      <alignment horizontal="center" vertical="center"/>
    </xf>
    <xf numFmtId="2" fontId="20" fillId="5" borderId="3" applyAlignment="1" pivotButton="0" quotePrefix="0" xfId="0">
      <alignment horizontal="center" vertical="center"/>
    </xf>
    <xf numFmtId="165" fontId="21" fillId="5" borderId="1" applyAlignment="1" pivotButton="0" quotePrefix="0" xfId="0">
      <alignment horizontal="center" vertical="center"/>
    </xf>
    <xf numFmtId="2" fontId="7" fillId="6" borderId="1" applyAlignment="1" pivotButton="0" quotePrefix="0" xfId="0">
      <alignment horizontal="center" vertical="center"/>
    </xf>
    <xf numFmtId="2" fontId="20" fillId="6" borderId="3" applyAlignment="1" pivotButton="0" quotePrefix="0" xfId="0">
      <alignment horizontal="center" vertical="center"/>
    </xf>
    <xf numFmtId="165" fontId="21" fillId="6" borderId="1" applyAlignment="1" pivotButton="0" quotePrefix="0" xfId="0">
      <alignment horizontal="center" vertical="center"/>
    </xf>
    <xf numFmtId="2" fontId="22" fillId="5" borderId="2" applyAlignment="1" pivotButton="0" quotePrefix="0" xfId="0">
      <alignment horizontal="center" vertical="center"/>
    </xf>
    <xf numFmtId="0" fontId="23" fillId="5" borderId="2" applyAlignment="1" pivotButton="0" quotePrefix="0" xfId="0">
      <alignment horizontal="center" vertical="center"/>
    </xf>
    <xf numFmtId="3" fontId="7" fillId="5" borderId="1" applyAlignment="1" pivotButton="0" quotePrefix="0" xfId="0">
      <alignment horizontal="center" vertical="center"/>
    </xf>
    <xf numFmtId="164" fontId="7" fillId="5" borderId="1" applyAlignment="1" pivotButton="0" quotePrefix="0" xfId="0">
      <alignment horizontal="center" vertical="center"/>
    </xf>
    <xf numFmtId="0" fontId="24" fillId="5" borderId="1" applyAlignment="1" pivotButton="0" quotePrefix="0" xfId="0">
      <alignment horizontal="left" vertical="center"/>
    </xf>
    <xf numFmtId="164" fontId="25" fillId="5" borderId="4" applyAlignment="1" pivotButton="0" quotePrefix="0" xfId="0">
      <alignment horizontal="center" vertical="center"/>
    </xf>
    <xf numFmtId="2" fontId="26" fillId="5" borderId="1" applyAlignment="1" pivotButton="0" quotePrefix="0" xfId="0">
      <alignment horizontal="center" vertical="center"/>
    </xf>
    <xf numFmtId="0" fontId="6" fillId="5" borderId="1" applyAlignment="1" pivotButton="0" quotePrefix="0" xfId="0">
      <alignment horizontal="center" vertical="center"/>
    </xf>
    <xf numFmtId="2" fontId="26" fillId="6" borderId="1" applyAlignment="1" pivotButton="0" quotePrefix="0" xfId="0">
      <alignment horizontal="center" vertical="center"/>
    </xf>
    <xf numFmtId="0" fontId="6" fillId="6" borderId="1" applyAlignment="1" pivotButton="0" quotePrefix="0" xfId="0">
      <alignment horizontal="center" vertical="center"/>
    </xf>
    <xf numFmtId="0" fontId="27" fillId="2" borderId="0" applyAlignment="1" pivotButton="0" quotePrefix="0" xfId="0">
      <alignment horizontal="left" vertical="center"/>
    </xf>
    <xf numFmtId="0" fontId="28" fillId="2" borderId="0" applyAlignment="1" pivotButton="0" quotePrefix="0" xfId="0">
      <alignment horizontal="center" vertical="center"/>
    </xf>
    <xf numFmtId="0" fontId="29" fillId="2" borderId="0" applyAlignment="1" pivotButton="0" quotePrefix="0" xfId="0">
      <alignment horizontal="center" vertical="center"/>
    </xf>
    <xf numFmtId="0" fontId="30" fillId="5" borderId="5" applyAlignment="1" pivotButton="0" quotePrefix="0" xfId="0">
      <alignment horizontal="center" vertical="center"/>
    </xf>
    <xf numFmtId="0" fontId="31" fillId="5" borderId="6" applyAlignment="1" pivotButton="0" quotePrefix="0" xfId="0">
      <alignment horizontal="center" vertical="center"/>
    </xf>
    <xf numFmtId="0" fontId="32" fillId="5" borderId="7" applyAlignment="1" pivotButton="0" quotePrefix="0" xfId="0">
      <alignment horizontal="center" vertical="center"/>
    </xf>
    <xf numFmtId="0" fontId="15" fillId="5" borderId="0" applyAlignment="1" pivotButton="0" quotePrefix="0" xfId="0">
      <alignment horizontal="center" vertical="center"/>
    </xf>
    <xf numFmtId="0" fontId="2" fillId="2" borderId="0" applyAlignment="1" pivotButton="0" quotePrefix="0" xfId="0">
      <alignment horizontal="center" vertical="center"/>
    </xf>
    <xf numFmtId="0" fontId="0" fillId="2" borderId="0" pivotButton="0" quotePrefix="0" xfId="0"/>
    <xf numFmtId="0" fontId="2" fillId="9" borderId="0" applyAlignment="1" pivotButton="0" quotePrefix="0" xfId="0">
      <alignment horizontal="left" vertical="center"/>
    </xf>
    <xf numFmtId="0" fontId="33" fillId="10" borderId="8" applyAlignment="1" pivotButton="0" quotePrefix="0" xfId="0">
      <alignment horizontal="center" vertical="center" wrapText="1"/>
    </xf>
    <xf numFmtId="0" fontId="15" fillId="2" borderId="0" applyAlignment="1" pivotButton="0" quotePrefix="0" xfId="0">
      <alignment horizontal="center" vertical="center"/>
    </xf>
  </cellXfs>
  <cellStyles count="1">
    <cellStyle name="Normal" xfId="0" builtinId="0" hidden="0"/>
  </cellStyles>
  <dxfs count="3">
    <dxf>
      <font>
        <b val="1"/>
        <color rgb="00D32F2F"/>
      </font>
      <fill>
        <patternFill patternType="solid">
          <fgColor rgb="00FFCDD2"/>
        </patternFill>
      </fill>
    </dxf>
    <dxf>
      <fill>
        <patternFill patternType="solid">
          <fgColor rgb="00FFEBEE"/>
        </patternFill>
      </fill>
    </dxf>
    <dxf>
      <fill>
        <patternFill patternType="solid">
          <fgColor rgb="00E8F5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4"/>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8" customWidth="1" min="3" max="3"/>
    <col width="40" customWidth="1" min="4" max="4"/>
    <col width="15" customWidth="1" min="5" max="5"/>
    <col width="10" customWidth="1" min="6" max="6"/>
    <col width="10" customWidth="1" min="7" max="7"/>
    <col width="10" customWidth="1" min="8" max="8"/>
  </cols>
  <sheetData>
    <row r="1" ht="42" customHeight="1">
      <c r="A1" s="1" t="inlineStr">
        <is>
          <t xml:space="preserve">  CAFÉ AUDIT SYSTEM  ·  Setup &amp; Configuration Parameters</t>
        </is>
      </c>
    </row>
    <row r="2" ht="8" customHeight="1"/>
    <row r="3" ht="30" customHeight="1">
      <c r="A3" s="2" t="inlineStr">
        <is>
          <t xml:space="preserve">  1   AUDIT CONFIGURATION</t>
        </is>
      </c>
    </row>
    <row r="4" ht="34" customHeight="1">
      <c r="A4" s="3" t="inlineStr">
        <is>
          <t>Store Type</t>
        </is>
      </c>
      <c r="B4" s="4" t="inlineStr">
        <is>
          <t>Speed-First</t>
        </is>
      </c>
      <c r="C4" s="3" t="inlineStr">
        <is>
          <t>Base ASP</t>
        </is>
      </c>
      <c r="D4" s="5" t="inlineStr">
        <is>
          <t>(average spend per customer — local currency)</t>
        </is>
      </c>
      <c r="E4" s="6" t="n">
        <v>4.5</v>
      </c>
    </row>
    <row r="5" ht="8" customHeight="1"/>
    <row r="6" ht="30" customHeight="1">
      <c r="A6" s="2" t="inlineStr">
        <is>
          <t xml:space="preserve">  2   DIMENSION WEIGHT MATRIX</t>
        </is>
      </c>
    </row>
    <row r="7" ht="26" customHeight="1">
      <c r="A7" s="7" t="inlineStr">
        <is>
          <t>Dimension</t>
        </is>
      </c>
      <c r="B7" s="7" t="inlineStr">
        <is>
          <t>Speed-First Weight</t>
        </is>
      </c>
      <c r="C7" s="7" t="inlineStr">
        <is>
          <t>Space-First Weight</t>
        </is>
      </c>
      <c r="D7" s="7" t="inlineStr">
        <is>
          <t>Covers</t>
        </is>
      </c>
    </row>
    <row r="8" ht="26" customHeight="1">
      <c r="A8" s="8" t="inlineStr">
        <is>
          <t>Customer Experience (CX)</t>
        </is>
      </c>
      <c r="B8" s="9" t="n">
        <v>0.3</v>
      </c>
      <c r="C8" s="9" t="n">
        <v>0.5</v>
      </c>
      <c r="D8" s="10" t="inlineStr">
        <is>
          <t>Service friendliness, queue time, order accuracy, atmosphere</t>
        </is>
      </c>
    </row>
    <row r="9" ht="26" customHeight="1">
      <c r="A9" s="11" t="inlineStr">
        <is>
          <t>Operations (Ops)</t>
        </is>
      </c>
      <c r="B9" s="12" t="n">
        <v>0.4</v>
      </c>
      <c r="C9" s="12" t="n">
        <v>0.3</v>
      </c>
      <c r="D9" s="13" t="inlineStr">
        <is>
          <t>Barista workflow, equipment, cleanliness, stock availability</t>
        </is>
      </c>
    </row>
    <row r="10" ht="26" customHeight="1">
      <c r="A10" s="8" t="inlineStr">
        <is>
          <t>Revenue Opportunity (Rev)</t>
        </is>
      </c>
      <c r="B10" s="9" t="n">
        <v>0.3</v>
      </c>
      <c r="C10" s="9" t="n">
        <v>0.2</v>
      </c>
      <c r="D10" s="10" t="inlineStr">
        <is>
          <t>Menu upselling, capacity utilization, pricing, secondary spend</t>
        </is>
      </c>
    </row>
    <row r="11" ht="8" customHeight="1"/>
    <row r="12" ht="30" customHeight="1">
      <c r="A12" s="2" t="inlineStr">
        <is>
          <t xml:space="preserve">  3   INDUSTRY BENCHMARK TARGETS  (used by Radar Chart on Dashboard)</t>
        </is>
      </c>
    </row>
    <row r="13" ht="26" customHeight="1">
      <c r="A13" s="7" t="inlineStr">
        <is>
          <t>Dimension</t>
        </is>
      </c>
      <c r="B13" s="7" t="inlineStr">
        <is>
          <t>Benchmark Score (0-5)</t>
        </is>
      </c>
      <c r="C13" s="7" t="inlineStr">
        <is>
          <t>Interpretation</t>
        </is>
      </c>
    </row>
    <row r="14" ht="26" customHeight="1">
      <c r="A14" s="14" t="inlineStr">
        <is>
          <t>Customer Experience (CX)</t>
        </is>
      </c>
      <c r="B14" s="15" t="n">
        <v>4</v>
      </c>
      <c r="C14" s="10" t="inlineStr">
        <is>
          <t>Minimum acceptable CX performance</t>
        </is>
      </c>
    </row>
    <row r="15" ht="26" customHeight="1">
      <c r="A15" s="16" t="inlineStr">
        <is>
          <t>Operations (Ops)</t>
        </is>
      </c>
      <c r="B15" s="17" t="n">
        <v>3.8</v>
      </c>
      <c r="C15" s="13" t="inlineStr">
        <is>
          <t>Operational efficiency baseline</t>
        </is>
      </c>
    </row>
    <row r="16" ht="26" customHeight="1">
      <c r="A16" s="14" t="inlineStr">
        <is>
          <t>Revenue Opportunity (Rev)</t>
        </is>
      </c>
      <c r="B16" s="15" t="n">
        <v>3.5</v>
      </c>
      <c r="C16" s="10" t="inlineStr">
        <is>
          <t>Revenue capture baseline</t>
        </is>
      </c>
    </row>
    <row r="17" ht="8" customHeight="1"/>
    <row r="18" ht="30" customHeight="1">
      <c r="A18" s="2" t="inlineStr">
        <is>
          <t xml:space="preserve">  4   METRIC DEFINITIONS &amp; REMEDIES</t>
        </is>
      </c>
    </row>
    <row r="19" ht="26" customHeight="1">
      <c r="A19" s="7" t="inlineStr">
        <is>
          <t>Metric ID</t>
        </is>
      </c>
      <c r="B19" s="7" t="inlineStr">
        <is>
          <t>Dimension</t>
        </is>
      </c>
      <c r="C19" s="7" t="inlineStr">
        <is>
          <t>Metric Name</t>
        </is>
      </c>
      <c r="D19" s="7" t="inlineStr">
        <is>
          <t>Recommended Action / Remedy</t>
        </is>
      </c>
    </row>
    <row r="20" ht="26" customHeight="1">
      <c r="A20" s="18" t="inlineStr">
        <is>
          <t>CX_001</t>
        </is>
      </c>
      <c r="B20" s="19" t="inlineStr">
        <is>
          <t>CX</t>
        </is>
      </c>
      <c r="C20" s="14" t="inlineStr">
        <is>
          <t>Service Friendliness</t>
        </is>
      </c>
      <c r="D20" s="20" t="inlineStr">
        <is>
          <t>Implement service standards training. Introduce daily briefing for hospitality KPIs.</t>
        </is>
      </c>
    </row>
    <row r="21" ht="26" customHeight="1">
      <c r="A21" s="21" t="inlineStr">
        <is>
          <t>CX_002</t>
        </is>
      </c>
      <c r="B21" s="22" t="inlineStr">
        <is>
          <t>CX</t>
        </is>
      </c>
      <c r="C21" s="16" t="inlineStr">
        <is>
          <t>Queue &amp; Wait Time</t>
        </is>
      </c>
      <c r="D21" s="23" t="inlineStr">
        <is>
          <t>Deploy queue management system. Train staff on proactive ETA communication.</t>
        </is>
      </c>
    </row>
    <row r="22" ht="26" customHeight="1">
      <c r="A22" s="18" t="inlineStr">
        <is>
          <t>CX_003</t>
        </is>
      </c>
      <c r="B22" s="19" t="inlineStr">
        <is>
          <t>CX</t>
        </is>
      </c>
      <c r="C22" s="14" t="inlineStr">
        <is>
          <t>Order Accuracy</t>
        </is>
      </c>
      <c r="D22" s="20" t="inlineStr">
        <is>
          <t>Introduce order verification checklist. Review drink ticketing workflow end-to-end.</t>
        </is>
      </c>
    </row>
    <row r="23" ht="26" customHeight="1">
      <c r="A23" s="21" t="inlineStr">
        <is>
          <t>CX_004</t>
        </is>
      </c>
      <c r="B23" s="22" t="inlineStr">
        <is>
          <t>CX</t>
        </is>
      </c>
      <c r="C23" s="16" t="inlineStr">
        <is>
          <t>Atmosphere &amp; Seating</t>
        </is>
      </c>
      <c r="D23" s="23" t="inlineStr">
        <is>
          <t>Conduct seating audit. Address noise and temperature. Schedule deep-clean cycle.</t>
        </is>
      </c>
    </row>
    <row r="24" ht="26" customHeight="1">
      <c r="A24" s="18" t="inlineStr">
        <is>
          <t>OPS_001</t>
        </is>
      </c>
      <c r="B24" s="19" t="inlineStr">
        <is>
          <t>Ops</t>
        </is>
      </c>
      <c r="C24" s="14" t="inlineStr">
        <is>
          <t>Barista Workflow Efficiency</t>
        </is>
      </c>
      <c r="D24" s="20" t="inlineStr">
        <is>
          <t>Map current workflow. Implement station layout redesign. Cross-train all staff.</t>
        </is>
      </c>
    </row>
    <row r="25" ht="26" customHeight="1">
      <c r="A25" s="21" t="inlineStr">
        <is>
          <t>OPS_002</t>
        </is>
      </c>
      <c r="B25" s="22" t="inlineStr">
        <is>
          <t>Ops</t>
        </is>
      </c>
      <c r="C25" s="16" t="inlineStr">
        <is>
          <t>Equipment Reliability</t>
        </is>
      </c>
      <c r="D25" s="23" t="inlineStr">
        <is>
          <t>Schedule preventive maintenance. Build equipment checklist. Source backup units.</t>
        </is>
      </c>
    </row>
    <row r="26" ht="26" customHeight="1">
      <c r="A26" s="18" t="inlineStr">
        <is>
          <t>OPS_003</t>
        </is>
      </c>
      <c r="B26" s="19" t="inlineStr">
        <is>
          <t>Ops</t>
        </is>
      </c>
      <c r="C26" s="14" t="inlineStr">
        <is>
          <t>Counter Cleanliness</t>
        </is>
      </c>
      <c r="D26" s="20" t="inlineStr">
        <is>
          <t>Implement hourly cleaning schedule. Assign counter ownership per staff member.</t>
        </is>
      </c>
    </row>
    <row r="27" ht="26" customHeight="1">
      <c r="A27" s="21" t="inlineStr">
        <is>
          <t>OPS_004</t>
        </is>
      </c>
      <c r="B27" s="22" t="inlineStr">
        <is>
          <t>Ops</t>
        </is>
      </c>
      <c r="C27" s="16" t="inlineStr">
        <is>
          <t>Menu &amp; Stock Availability</t>
        </is>
      </c>
      <c r="D27" s="23" t="inlineStr">
        <is>
          <t>Deploy real-time inventory tracking. Implement 80/20 par-level restocking system.</t>
        </is>
      </c>
    </row>
    <row r="28" ht="26" customHeight="1">
      <c r="A28" s="18" t="inlineStr">
        <is>
          <t>REV_001</t>
        </is>
      </c>
      <c r="B28" s="19" t="inlineStr">
        <is>
          <t>Rev</t>
        </is>
      </c>
      <c r="C28" s="14" t="inlineStr">
        <is>
          <t>Menu Visibility &amp; Upselling</t>
        </is>
      </c>
      <c r="D28" s="20" t="inlineStr">
        <is>
          <t>Redesign menu board layout. Script upsell prompts. Introduce combo promotions.</t>
        </is>
      </c>
    </row>
    <row r="29" ht="26" customHeight="1">
      <c r="A29" s="21" t="inlineStr">
        <is>
          <t>REV_002</t>
        </is>
      </c>
      <c r="B29" s="22" t="inlineStr">
        <is>
          <t>Rev</t>
        </is>
      </c>
      <c r="C29" s="16" t="inlineStr">
        <is>
          <t>Peak Capacity Utilization</t>
        </is>
      </c>
      <c r="D29" s="23" t="inlineStr">
        <is>
          <t>Implement reservation or queue-ahead system. Install peak-hour promotional signage.</t>
        </is>
      </c>
    </row>
    <row r="30" ht="26" customHeight="1">
      <c r="A30" s="18" t="inlineStr">
        <is>
          <t>REV_003</t>
        </is>
      </c>
      <c r="B30" s="19" t="inlineStr">
        <is>
          <t>Rev</t>
        </is>
      </c>
      <c r="C30" s="14" t="inlineStr">
        <is>
          <t>Pricing Perception</t>
        </is>
      </c>
      <c r="D30" s="20" t="inlineStr">
        <is>
          <t>Review pricing vs local competitive set. Strengthen premium product storytelling.</t>
        </is>
      </c>
    </row>
    <row r="31" ht="26" customHeight="1">
      <c r="A31" s="21" t="inlineStr">
        <is>
          <t>REV_004</t>
        </is>
      </c>
      <c r="B31" s="22" t="inlineStr">
        <is>
          <t>Rev</t>
        </is>
      </c>
      <c r="C31" s="16" t="inlineStr">
        <is>
          <t>Secondary Spend Opportunity</t>
        </is>
      </c>
      <c r="D31" s="23" t="inlineStr">
        <is>
          <t>Introduce grab-and-go retail section. Train staff on cross-selling protocol.</t>
        </is>
      </c>
    </row>
    <row r="32" ht="8" customHeight="1"/>
    <row r="33" ht="30" customHeight="1">
      <c r="A33" s="24" t="inlineStr">
        <is>
          <t xml:space="preserve">  5   SCORING RUBRIC DICTIONARY  ·  Key format: Metric_ID_Score  (e.g. CX_001_3)</t>
        </is>
      </c>
    </row>
    <row r="34" ht="26" customHeight="1">
      <c r="A34" s="25" t="inlineStr">
        <is>
          <t>Key  (Metric_ID_Score)</t>
        </is>
      </c>
      <c r="B34" s="25" t="inlineStr">
        <is>
          <t>Scoring Criteria Description</t>
        </is>
      </c>
    </row>
    <row r="35" ht="24" customHeight="1">
      <c r="A35" s="21" t="inlineStr">
        <is>
          <t>CX_001_1</t>
        </is>
      </c>
      <c r="B35" s="26" t="inlineStr">
        <is>
          <t>Staff dismissive or rude; customers ignored or poorly treated throughout</t>
        </is>
      </c>
    </row>
    <row r="36" ht="24" customHeight="1">
      <c r="A36" s="18" t="inlineStr">
        <is>
          <t>CX_001_2</t>
        </is>
      </c>
      <c r="B36" s="27" t="inlineStr">
        <is>
          <t>Minimal acknowledgment; interactions purely transactional; no warmth</t>
        </is>
      </c>
    </row>
    <row r="37" ht="24" customHeight="1">
      <c r="A37" s="21" t="inlineStr">
        <is>
          <t>CX_001_3</t>
        </is>
      </c>
      <c r="B37" s="26" t="inlineStr">
        <is>
          <t>Polite and professional; basic greeting and thank-you consistently delivered</t>
        </is>
      </c>
    </row>
    <row r="38" ht="24" customHeight="1">
      <c r="A38" s="18" t="inlineStr">
        <is>
          <t>CX_001_4</t>
        </is>
      </c>
      <c r="B38" s="27" t="inlineStr">
        <is>
          <t>Warm and engaged; staff proactively helpful; personal touch observed</t>
        </is>
      </c>
    </row>
    <row r="39" ht="24" customHeight="1">
      <c r="A39" s="21" t="inlineStr">
        <is>
          <t>CX_001_5</t>
        </is>
      </c>
      <c r="B39" s="26" t="inlineStr">
        <is>
          <t>Outstanding hospitality; every interaction memorable; zero negative moments</t>
        </is>
      </c>
    </row>
    <row r="40" ht="24" customHeight="1">
      <c r="A40" s="18" t="inlineStr">
        <is>
          <t>CX_002_1</t>
        </is>
      </c>
      <c r="B40" s="27" t="inlineStr">
        <is>
          <t>Wait exceeds 10 minutes; no queue visibility or management observed</t>
        </is>
      </c>
    </row>
    <row r="41" ht="24" customHeight="1">
      <c r="A41" s="21" t="inlineStr">
        <is>
          <t>CX_002_2</t>
        </is>
      </c>
      <c r="B41" s="26" t="inlineStr">
        <is>
          <t>Wait 7-10 min; customers not informed of expected delay</t>
        </is>
      </c>
    </row>
    <row r="42" ht="24" customHeight="1">
      <c r="A42" s="18" t="inlineStr">
        <is>
          <t>CX_002_3</t>
        </is>
      </c>
      <c r="B42" s="27" t="inlineStr">
        <is>
          <t>Wait 4-6 min; staff aware of queue; no proactive communication</t>
        </is>
      </c>
    </row>
    <row r="43" ht="24" customHeight="1">
      <c r="A43" s="21" t="inlineStr">
        <is>
          <t>CX_002_4</t>
        </is>
      </c>
      <c r="B43" s="26" t="inlineStr">
        <is>
          <t>Wait 2-3 min; queue actively managed; ETAs communicated when asked</t>
        </is>
      </c>
    </row>
    <row r="44" ht="24" customHeight="1">
      <c r="A44" s="18" t="inlineStr">
        <is>
          <t>CX_002_5</t>
        </is>
      </c>
      <c r="B44" s="27" t="inlineStr">
        <is>
          <t>Wait under 2 minutes; no visible bottleneck at any point during shift</t>
        </is>
      </c>
    </row>
    <row r="45" ht="24" customHeight="1">
      <c r="A45" s="21" t="inlineStr">
        <is>
          <t>CX_003_1</t>
        </is>
      </c>
      <c r="B45" s="26" t="inlineStr">
        <is>
          <t>Multiple order errors observed; no systematic correction process</t>
        </is>
      </c>
    </row>
    <row r="46" ht="24" customHeight="1">
      <c r="A46" s="18" t="inlineStr">
        <is>
          <t>CX_003_2</t>
        </is>
      </c>
      <c r="B46" s="27" t="inlineStr">
        <is>
          <t>Error rate above 20%; staff slow to acknowledge or rectify mistakes</t>
        </is>
      </c>
    </row>
    <row r="47" ht="24" customHeight="1">
      <c r="A47" s="21" t="inlineStr">
        <is>
          <t>CX_003_3</t>
        </is>
      </c>
      <c r="B47" s="26" t="inlineStr">
        <is>
          <t>Occasional errors below 10%; corrected promptly when identified</t>
        </is>
      </c>
    </row>
    <row r="48" ht="24" customHeight="1">
      <c r="A48" s="18" t="inlineStr">
        <is>
          <t>CX_003_4</t>
        </is>
      </c>
      <c r="B48" s="27" t="inlineStr">
        <is>
          <t>Rare errors below 5%; immediate correction and verbal apology given</t>
        </is>
      </c>
    </row>
    <row r="49" ht="24" customHeight="1">
      <c r="A49" s="21" t="inlineStr">
        <is>
          <t>CX_003_5</t>
        </is>
      </c>
      <c r="B49" s="26" t="inlineStr">
        <is>
          <t>Zero errors observed; consistent accuracy confirmed across all orders</t>
        </is>
      </c>
    </row>
    <row r="50" ht="24" customHeight="1">
      <c r="A50" s="18" t="inlineStr">
        <is>
          <t>CX_004_1</t>
        </is>
      </c>
      <c r="B50" s="27" t="inlineStr">
        <is>
          <t>Uncomfortable or visibly dirty; noise intolerable; seating inadequate</t>
        </is>
      </c>
    </row>
    <row r="51" ht="24" customHeight="1">
      <c r="A51" s="21" t="inlineStr">
        <is>
          <t>CX_004_2</t>
        </is>
      </c>
      <c r="B51" s="26" t="inlineStr">
        <is>
          <t>Below-average comfort; limited clean seating; poor temperature control</t>
        </is>
      </c>
    </row>
    <row r="52" ht="24" customHeight="1">
      <c r="A52" s="18" t="inlineStr">
        <is>
          <t>CX_004_3</t>
        </is>
      </c>
      <c r="B52" s="27" t="inlineStr">
        <is>
          <t>Adequate atmosphere; most seats available; acceptable noise level</t>
        </is>
      </c>
    </row>
    <row r="53" ht="24" customHeight="1">
      <c r="A53" s="21" t="inlineStr">
        <is>
          <t>CX_004_4</t>
        </is>
      </c>
      <c r="B53" s="26" t="inlineStr">
        <is>
          <t>Pleasant and welcoming; good seating availability; comfortable temperature</t>
        </is>
      </c>
    </row>
    <row r="54" ht="24" customHeight="1">
      <c r="A54" s="18" t="inlineStr">
        <is>
          <t>CX_004_5</t>
        </is>
      </c>
      <c r="B54" s="27" t="inlineStr">
        <is>
          <t>Exceptional ambiance; abundant seating; immersive and memorable environment</t>
        </is>
      </c>
    </row>
    <row r="55" ht="24" customHeight="1">
      <c r="A55" s="21" t="inlineStr">
        <is>
          <t>OPS_001_1</t>
        </is>
      </c>
      <c r="B55" s="26" t="inlineStr">
        <is>
          <t>Disorganized station; multiple bottlenecks; significant visible idle time</t>
        </is>
      </c>
    </row>
    <row r="56" ht="24" customHeight="1">
      <c r="A56" s="18" t="inlineStr">
        <is>
          <t>OPS_001_2</t>
        </is>
      </c>
      <c r="B56" s="27" t="inlineStr">
        <is>
          <t>Inefficient flow; frequent pauses; rework observed during service</t>
        </is>
      </c>
    </row>
    <row r="57" ht="24" customHeight="1">
      <c r="A57" s="21" t="inlineStr">
        <is>
          <t>OPS_001_3</t>
        </is>
      </c>
      <c r="B57" s="26" t="inlineStr">
        <is>
          <t>Functional workflow; some avoidable inefficiencies; handoffs occasionally unclear</t>
        </is>
      </c>
    </row>
    <row r="58" ht="24" customHeight="1">
      <c r="A58" s="18" t="inlineStr">
        <is>
          <t>OPS_001_4</t>
        </is>
      </c>
      <c r="B58" s="27" t="inlineStr">
        <is>
          <t>Efficient and smooth; clear handoffs between stations; minimal waste motion</t>
        </is>
      </c>
    </row>
    <row r="59" ht="24" customHeight="1">
      <c r="A59" s="21" t="inlineStr">
        <is>
          <t>OPS_001_5</t>
        </is>
      </c>
      <c r="B59" s="26" t="inlineStr">
        <is>
          <t>Fully optimized; cross-trained staff visible; zero wasted motion observed</t>
        </is>
      </c>
    </row>
    <row r="60" ht="24" customHeight="1">
      <c r="A60" s="18" t="inlineStr">
        <is>
          <t>OPS_002_1</t>
        </is>
      </c>
      <c r="B60" s="27" t="inlineStr">
        <is>
          <t>Frequent equipment failures causing visible customer-facing disruptions</t>
        </is>
      </c>
    </row>
    <row r="61" ht="24" customHeight="1">
      <c r="A61" s="21" t="inlineStr">
        <is>
          <t>OPS_002_2</t>
        </is>
      </c>
      <c r="B61" s="26" t="inlineStr">
        <is>
          <t>Visible maintenance issues; output noticeably slower than expected</t>
        </is>
      </c>
    </row>
    <row r="62" ht="24" customHeight="1">
      <c r="A62" s="18" t="inlineStr">
        <is>
          <t>OPS_002_3</t>
        </is>
      </c>
      <c r="B62" s="27" t="inlineStr">
        <is>
          <t>Equipment functional; minor delays due to sub-optimal maintenance</t>
        </is>
      </c>
    </row>
    <row r="63" ht="24" customHeight="1">
      <c r="A63" s="21" t="inlineStr">
        <is>
          <t>OPS_002_4</t>
        </is>
      </c>
      <c r="B63" s="26" t="inlineStr">
        <is>
          <t>All equipment operational and calibrated; clean and properly set up</t>
        </is>
      </c>
    </row>
    <row r="64" ht="24" customHeight="1">
      <c r="A64" s="18" t="inlineStr">
        <is>
          <t>OPS_002_5</t>
        </is>
      </c>
      <c r="B64" s="27" t="inlineStr">
        <is>
          <t>Peak performance; backup protocol visibly in place; zero failure observed</t>
        </is>
      </c>
    </row>
    <row r="65" ht="24" customHeight="1">
      <c r="A65" s="21" t="inlineStr">
        <is>
          <t>OPS_003_1</t>
        </is>
      </c>
      <c r="B65" s="26" t="inlineStr">
        <is>
          <t>Counter visibly dirty; spills and debris left unaddressed</t>
        </is>
      </c>
    </row>
    <row r="66" ht="24" customHeight="1">
      <c r="A66" s="18" t="inlineStr">
        <is>
          <t>OPS_003_2</t>
        </is>
      </c>
      <c r="B66" s="27" t="inlineStr">
        <is>
          <t>Untidy workspace; cleaning observed only reactively after accumulation</t>
        </is>
      </c>
    </row>
    <row r="67" ht="24" customHeight="1">
      <c r="A67" s="21" t="inlineStr">
        <is>
          <t>OPS_003_3</t>
        </is>
      </c>
      <c r="B67" s="26" t="inlineStr">
        <is>
          <t>Acceptable cleanliness; area cleaned between major rushes proactively</t>
        </is>
      </c>
    </row>
    <row r="68" ht="24" customHeight="1">
      <c r="A68" s="18" t="inlineStr">
        <is>
          <t>OPS_003_4</t>
        </is>
      </c>
      <c r="B68" s="27" t="inlineStr">
        <is>
          <t>Consistently clean; proactive wiping and organization maintained throughout</t>
        </is>
      </c>
    </row>
    <row r="69" ht="24" customHeight="1">
      <c r="A69" s="21" t="inlineStr">
        <is>
          <t>OPS_003_5</t>
        </is>
      </c>
      <c r="B69" s="26" t="inlineStr">
        <is>
          <t>Immaculate at all times; continuous cleaning routine clearly enforced</t>
        </is>
      </c>
    </row>
    <row r="70" ht="24" customHeight="1">
      <c r="A70" s="18" t="inlineStr">
        <is>
          <t>OPS_004_1</t>
        </is>
      </c>
      <c r="B70" s="27" t="inlineStr">
        <is>
          <t>More than 3 items unavailable; no customer notice or signage visible</t>
        </is>
      </c>
    </row>
    <row r="71" ht="24" customHeight="1">
      <c r="A71" s="21" t="inlineStr">
        <is>
          <t>OPS_004_2</t>
        </is>
      </c>
      <c r="B71" s="26" t="inlineStr">
        <is>
          <t>2-3 items out of stock; poor communication to customers at point of order</t>
        </is>
      </c>
    </row>
    <row r="72" ht="24" customHeight="1">
      <c r="A72" s="18" t="inlineStr">
        <is>
          <t>OPS_004_3</t>
        </is>
      </c>
      <c r="B72" s="27" t="inlineStr">
        <is>
          <t>1-2 items unavailable; staff informs customers clearly at point of ordering</t>
        </is>
      </c>
    </row>
    <row r="73" ht="24" customHeight="1">
      <c r="A73" s="21" t="inlineStr">
        <is>
          <t>OPS_004_4</t>
        </is>
      </c>
      <c r="B73" s="26" t="inlineStr">
        <is>
          <t>Fully stocked; specials and daily items clearly marked and communicated</t>
        </is>
      </c>
    </row>
    <row r="74" ht="24" customHeight="1">
      <c r="A74" s="18" t="inlineStr">
        <is>
          <t>OPS_004_5</t>
        </is>
      </c>
      <c r="B74" s="27" t="inlineStr">
        <is>
          <t>Fully stocked including seasonal additions; zero stockouts throughout shift</t>
        </is>
      </c>
    </row>
    <row r="75" ht="24" customHeight="1">
      <c r="A75" s="21" t="inlineStr">
        <is>
          <t>REV_001_1</t>
        </is>
      </c>
      <c r="B75" s="26" t="inlineStr">
        <is>
          <t>No upselling observed; menu not visible, unclear, or frequently obstructed</t>
        </is>
      </c>
    </row>
    <row r="76" ht="24" customHeight="1">
      <c r="A76" s="18" t="inlineStr">
        <is>
          <t>REV_001_2</t>
        </is>
      </c>
      <c r="B76" s="27" t="inlineStr">
        <is>
          <t>Passive menu display only; no verbal suggestions or recommendations offered</t>
        </is>
      </c>
    </row>
    <row r="77" ht="24" customHeight="1">
      <c r="A77" s="21" t="inlineStr">
        <is>
          <t>REV_001_3</t>
        </is>
      </c>
      <c r="B77" s="26" t="inlineStr">
        <is>
          <t>Menu clearly visible; upselling attempted occasionally with moderate success</t>
        </is>
      </c>
    </row>
    <row r="78" ht="24" customHeight="1">
      <c r="A78" s="18" t="inlineStr">
        <is>
          <t>REV_001_4</t>
        </is>
      </c>
      <c r="B78" s="27" t="inlineStr">
        <is>
          <t>Clear and accessible menu; consistent upsell offers at point of ordering</t>
        </is>
      </c>
    </row>
    <row r="79" ht="24" customHeight="1">
      <c r="A79" s="21" t="inlineStr">
        <is>
          <t>REV_001_5</t>
        </is>
      </c>
      <c r="B79" s="26" t="inlineStr">
        <is>
          <t>Strategic placement plus trained upselling; high observed conversion rate</t>
        </is>
      </c>
    </row>
    <row r="80" ht="24" customHeight="1">
      <c r="A80" s="18" t="inlineStr">
        <is>
          <t>REV_002_1</t>
        </is>
      </c>
      <c r="B80" s="27" t="inlineStr">
        <is>
          <t>Under 40% of seats occupied during peak; no effort observed to attract more</t>
        </is>
      </c>
    </row>
    <row r="81" ht="24" customHeight="1">
      <c r="A81" s="21" t="inlineStr">
        <is>
          <t>REV_002_2</t>
        </is>
      </c>
      <c r="B81" s="26" t="inlineStr">
        <is>
          <t>40-60% occupied; no promotional strategy to maximize peak footfall</t>
        </is>
      </c>
    </row>
    <row r="82" ht="24" customHeight="1">
      <c r="A82" s="18" t="inlineStr">
        <is>
          <t>REV_002_3</t>
        </is>
      </c>
      <c r="B82" s="27" t="inlineStr">
        <is>
          <t>60-75% occupied; basic in-store promotions visible; moderate queue turnover</t>
        </is>
      </c>
    </row>
    <row r="83" ht="24" customHeight="1">
      <c r="A83" s="21" t="inlineStr">
        <is>
          <t>REV_002_4</t>
        </is>
      </c>
      <c r="B83" s="26" t="inlineStr">
        <is>
          <t>75-90% occupied; active reservation or queue-ahead management in use</t>
        </is>
      </c>
    </row>
    <row r="84" ht="24" customHeight="1">
      <c r="A84" s="18" t="inlineStr">
        <is>
          <t>REV_002_5</t>
        </is>
      </c>
      <c r="B84" s="27" t="inlineStr">
        <is>
          <t>Over 90% occupied; waitlist actively managed; overflow footfall captured</t>
        </is>
      </c>
    </row>
    <row r="85" ht="24" customHeight="1">
      <c r="A85" s="21" t="inlineStr">
        <is>
          <t>REV_003_1</t>
        </is>
      </c>
      <c r="B85" s="26" t="inlineStr">
        <is>
          <t>Customers vocalize poor value perception; no premium positioning observed</t>
        </is>
      </c>
    </row>
    <row r="86" ht="24" customHeight="1">
      <c r="A86" s="18" t="inlineStr">
        <is>
          <t>REV_003_2</t>
        </is>
      </c>
      <c r="B86" s="27" t="inlineStr">
        <is>
          <t>Price-to-value disconnect evident; no visible quality or premium cues</t>
        </is>
      </c>
    </row>
    <row r="87" ht="24" customHeight="1">
      <c r="A87" s="21" t="inlineStr">
        <is>
          <t>REV_003_3</t>
        </is>
      </c>
      <c r="B87" s="26" t="inlineStr">
        <is>
          <t>Pricing accepted without visible objection; limited product differentiation</t>
        </is>
      </c>
    </row>
    <row r="88" ht="24" customHeight="1">
      <c r="A88" s="18" t="inlineStr">
        <is>
          <t>REV_003_4</t>
        </is>
      </c>
      <c r="B88" s="27" t="inlineStr">
        <is>
          <t>Value clearly communicated; premium signals consistently present</t>
        </is>
      </c>
    </row>
    <row r="89" ht="24" customHeight="1">
      <c r="A89" s="21" t="inlineStr">
        <is>
          <t>REV_003_5</t>
        </is>
      </c>
      <c r="B89" s="26" t="inlineStr">
        <is>
          <t>Strong perceived value; customers willingly pay premium; loyalty behavior visible</t>
        </is>
      </c>
    </row>
    <row r="90" ht="24" customHeight="1">
      <c r="A90" s="18" t="inlineStr">
        <is>
          <t>REV_004_1</t>
        </is>
      </c>
      <c r="B90" s="27" t="inlineStr">
        <is>
          <t>No merchandise, retail items, or add-on offers present anywhere in store</t>
        </is>
      </c>
    </row>
    <row r="91" ht="24" customHeight="1">
      <c r="A91" s="21" t="inlineStr">
        <is>
          <t>REV_004_2</t>
        </is>
      </c>
      <c r="B91" s="26" t="inlineStr">
        <is>
          <t>Merchandise visible but no active promotion or staff mention observed</t>
        </is>
      </c>
    </row>
    <row r="92" ht="24" customHeight="1">
      <c r="A92" s="18" t="inlineStr">
        <is>
          <t>REV_004_3</t>
        </is>
      </c>
      <c r="B92" s="27" t="inlineStr">
        <is>
          <t>Staff mentions add-ons or retail items occasionally during service</t>
        </is>
      </c>
    </row>
    <row r="93" ht="24" customHeight="1">
      <c r="A93" s="21" t="inlineStr">
        <is>
          <t>REV_004_4</t>
        </is>
      </c>
      <c r="B93" s="26" t="inlineStr">
        <is>
          <t>Clear secondary display; staff trained and regularly recommending add-ons</t>
        </is>
      </c>
    </row>
    <row r="94" ht="24" customHeight="1">
      <c r="A94" s="18" t="inlineStr">
        <is>
          <t>REV_004_5</t>
        </is>
      </c>
      <c r="B94" s="27" t="inlineStr">
        <is>
          <t>Integrated secondary spend strategy; measurable basket-size uplift observable</t>
        </is>
      </c>
    </row>
  </sheetData>
  <mergeCells count="6">
    <mergeCell ref="A12:H12"/>
    <mergeCell ref="A18:H18"/>
    <mergeCell ref="A3:H3"/>
    <mergeCell ref="A33:H33"/>
    <mergeCell ref="A1:H1"/>
    <mergeCell ref="A6:H6"/>
  </mergeCells>
  <dataValidations count="1">
    <dataValidation sqref="B4" showDropDown="0" showInputMessage="1" showErrorMessage="1" allowBlank="0" errorTitle="Invalid" error="Must be Speed-First or Space-First" promptTitle="Store Type" prompt="Select: &quot;Speed-First&quot; = takeaway/express focus | &quot;Space-First&quot; = community/premium" type="list">
      <formula1>"Speed-First,Space-First"</formula1>
    </dataValidation>
  </dataValidations>
  <pageMargins left="0.75" right="0.75" top="1" bottom="1" header="0.5" footer="0.5"/>
</worksheet>
</file>

<file path=xl/worksheets/sheet2.xml><?xml version="1.0" encoding="utf-8"?>
<worksheet xmlns="http://schemas.openxmlformats.org/spreadsheetml/2006/main">
  <sheetPr>
    <tabColor rgb="00051C2C"/>
    <outlinePr summaryBelow="1" summaryRight="1"/>
    <pageSetUpPr/>
  </sheetPr>
  <dimension ref="A1:H51"/>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28" customWidth="1" min="3" max="3"/>
    <col width="10" customWidth="1" min="4" max="4"/>
    <col width="44" customWidth="1" min="5" max="5"/>
    <col width="26" customWidth="1" min="6" max="6"/>
  </cols>
  <sheetData>
    <row r="1" ht="42" customHeight="1">
      <c r="A1" s="28" t="inlineStr">
        <is>
          <t xml:space="preserve">  CAFÉ AUDIT TOOL  ·  On-Site Observation Form  ·  All shifts, tablet-optimised</t>
        </is>
      </c>
    </row>
    <row r="2" ht="34" customHeight="1">
      <c r="A2" s="29" t="inlineStr">
        <is>
          <t>Café Name:</t>
        </is>
      </c>
      <c r="B2" s="30" t="n"/>
      <c r="C2" s="29" t="inlineStr">
        <is>
          <t>Audit Date:</t>
        </is>
      </c>
      <c r="D2" s="31" t="n"/>
      <c r="E2" s="29" t="inlineStr">
        <is>
          <t>Auditor:</t>
        </is>
      </c>
      <c r="F2" s="30" t="n"/>
    </row>
    <row r="3" ht="34" customHeight="1">
      <c r="A3" s="29" t="inlineStr">
        <is>
          <t>Store Type:</t>
        </is>
      </c>
      <c r="B3" s="32">
        <f>Setup_Parameters!$B$4</f>
        <v/>
      </c>
      <c r="C3" s="33" t="inlineStr">
        <is>
          <t>&lt;-- Controlled by Setup_Parameters!B4. Do not edit this cell.</t>
        </is>
      </c>
    </row>
    <row r="4" ht="8" customHeight="1"/>
    <row r="5" ht="36" customHeight="1">
      <c r="A5" s="34" t="inlineStr">
        <is>
          <t xml:space="preserve">  SHIFT 1: MORNING PEAK  (08:00 – 10:00)</t>
        </is>
      </c>
    </row>
    <row r="6" ht="26" customHeight="1">
      <c r="A6" s="7" t="inlineStr">
        <is>
          <t>Metric ID</t>
        </is>
      </c>
      <c r="B6" s="7" t="inlineStr">
        <is>
          <t>Dimension</t>
        </is>
      </c>
      <c r="C6" s="7" t="inlineStr">
        <is>
          <t>Metric Name</t>
        </is>
      </c>
      <c r="D6" s="7" t="inlineStr">
        <is>
          <t>Score (1-5)</t>
        </is>
      </c>
      <c r="E6" s="7" t="inlineStr">
        <is>
          <t>Scoring Criteria</t>
        </is>
      </c>
      <c r="F6" s="7" t="inlineStr">
        <is>
          <t>Auditor Notes</t>
        </is>
      </c>
    </row>
    <row r="7" ht="38" customHeight="1">
      <c r="A7" s="18" t="inlineStr">
        <is>
          <t>CX_001</t>
        </is>
      </c>
      <c r="B7" s="35" t="inlineStr">
        <is>
          <t>CX</t>
        </is>
      </c>
      <c r="C7" s="14" t="inlineStr">
        <is>
          <t>Service Friendliness</t>
        </is>
      </c>
      <c r="D7" s="36" t="n"/>
      <c r="E7" s="37">
        <f>IFERROR(XLOOKUP(A7&amp;"_"&amp;TEXT(D7,"0"),Setup_Parameters!$A$35:$A$94,Setup_Parameters!$B$35:$B$94,"Select a score (1-5) to display scoring criteria"),"")</f>
        <v/>
      </c>
      <c r="F7" s="38" t="n"/>
    </row>
    <row r="8" ht="38" customHeight="1">
      <c r="A8" s="21" t="inlineStr">
        <is>
          <t>CX_002</t>
        </is>
      </c>
      <c r="B8" s="39" t="inlineStr">
        <is>
          <t>CX</t>
        </is>
      </c>
      <c r="C8" s="16" t="inlineStr">
        <is>
          <t>Queue &amp; Wait Time</t>
        </is>
      </c>
      <c r="D8" s="36" t="n"/>
      <c r="E8" s="37">
        <f>IFERROR(XLOOKUP(A8&amp;"_"&amp;TEXT(D8,"0"),Setup_Parameters!$A$35:$A$94,Setup_Parameters!$B$35:$B$94,"Select a score (1-5) to display scoring criteria"),"")</f>
        <v/>
      </c>
      <c r="F8" s="38" t="n"/>
    </row>
    <row r="9" ht="38" customHeight="1">
      <c r="A9" s="18" t="inlineStr">
        <is>
          <t>CX_003</t>
        </is>
      </c>
      <c r="B9" s="35" t="inlineStr">
        <is>
          <t>CX</t>
        </is>
      </c>
      <c r="C9" s="14" t="inlineStr">
        <is>
          <t>Order Accuracy</t>
        </is>
      </c>
      <c r="D9" s="36" t="n"/>
      <c r="E9" s="37">
        <f>IFERROR(XLOOKUP(A9&amp;"_"&amp;TEXT(D9,"0"),Setup_Parameters!$A$35:$A$94,Setup_Parameters!$B$35:$B$94,"Select a score (1-5) to display scoring criteria"),"")</f>
        <v/>
      </c>
      <c r="F9" s="38" t="n"/>
    </row>
    <row r="10" ht="38" customHeight="1">
      <c r="A10" s="21" t="inlineStr">
        <is>
          <t>CX_004</t>
        </is>
      </c>
      <c r="B10" s="39" t="inlineStr">
        <is>
          <t>CX</t>
        </is>
      </c>
      <c r="C10" s="16" t="inlineStr">
        <is>
          <t>Atmosphere &amp; Seating</t>
        </is>
      </c>
      <c r="D10" s="36" t="n"/>
      <c r="E10" s="37">
        <f>IFERROR(XLOOKUP(A10&amp;"_"&amp;TEXT(D10,"0"),Setup_Parameters!$A$35:$A$94,Setup_Parameters!$B$35:$B$94,"Select a score (1-5) to display scoring criteria"),"")</f>
        <v/>
      </c>
      <c r="F10" s="38" t="n"/>
    </row>
    <row r="11" ht="38" customHeight="1">
      <c r="A11" s="18" t="inlineStr">
        <is>
          <t>OPS_001</t>
        </is>
      </c>
      <c r="B11" s="40" t="inlineStr">
        <is>
          <t>Ops</t>
        </is>
      </c>
      <c r="C11" s="14" t="inlineStr">
        <is>
          <t>Barista Workflow Efficiency</t>
        </is>
      </c>
      <c r="D11" s="36" t="n"/>
      <c r="E11" s="37">
        <f>IFERROR(XLOOKUP(A11&amp;"_"&amp;TEXT(D11,"0"),Setup_Parameters!$A$35:$A$94,Setup_Parameters!$B$35:$B$94,"Select a score (1-5) to display scoring criteria"),"")</f>
        <v/>
      </c>
      <c r="F11" s="38" t="n"/>
    </row>
    <row r="12" ht="38" customHeight="1">
      <c r="A12" s="21" t="inlineStr">
        <is>
          <t>OPS_002</t>
        </is>
      </c>
      <c r="B12" s="41" t="inlineStr">
        <is>
          <t>Ops</t>
        </is>
      </c>
      <c r="C12" s="16" t="inlineStr">
        <is>
          <t>Equipment Reliability</t>
        </is>
      </c>
      <c r="D12" s="36" t="n"/>
      <c r="E12" s="37">
        <f>IFERROR(XLOOKUP(A12&amp;"_"&amp;TEXT(D12,"0"),Setup_Parameters!$A$35:$A$94,Setup_Parameters!$B$35:$B$94,"Select a score (1-5) to display scoring criteria"),"")</f>
        <v/>
      </c>
      <c r="F12" s="38" t="n"/>
    </row>
    <row r="13" ht="38" customHeight="1">
      <c r="A13" s="18" t="inlineStr">
        <is>
          <t>OPS_003</t>
        </is>
      </c>
      <c r="B13" s="40" t="inlineStr">
        <is>
          <t>Ops</t>
        </is>
      </c>
      <c r="C13" s="14" t="inlineStr">
        <is>
          <t>Counter Cleanliness</t>
        </is>
      </c>
      <c r="D13" s="36" t="n"/>
      <c r="E13" s="37">
        <f>IFERROR(XLOOKUP(A13&amp;"_"&amp;TEXT(D13,"0"),Setup_Parameters!$A$35:$A$94,Setup_Parameters!$B$35:$B$94,"Select a score (1-5) to display scoring criteria"),"")</f>
        <v/>
      </c>
      <c r="F13" s="38" t="n"/>
    </row>
    <row r="14" ht="38" customHeight="1">
      <c r="A14" s="21" t="inlineStr">
        <is>
          <t>OPS_004</t>
        </is>
      </c>
      <c r="B14" s="41" t="inlineStr">
        <is>
          <t>Ops</t>
        </is>
      </c>
      <c r="C14" s="16" t="inlineStr">
        <is>
          <t>Menu &amp; Stock Availability</t>
        </is>
      </c>
      <c r="D14" s="36" t="n"/>
      <c r="E14" s="37">
        <f>IFERROR(XLOOKUP(A14&amp;"_"&amp;TEXT(D14,"0"),Setup_Parameters!$A$35:$A$94,Setup_Parameters!$B$35:$B$94,"Select a score (1-5) to display scoring criteria"),"")</f>
        <v/>
      </c>
      <c r="F14" s="38" t="n"/>
    </row>
    <row r="15" ht="38" customHeight="1">
      <c r="A15" s="18" t="inlineStr">
        <is>
          <t>REV_001</t>
        </is>
      </c>
      <c r="B15" s="18" t="inlineStr">
        <is>
          <t>Rev</t>
        </is>
      </c>
      <c r="C15" s="14" t="inlineStr">
        <is>
          <t>Menu Visibility &amp; Upselling</t>
        </is>
      </c>
      <c r="D15" s="36" t="n"/>
      <c r="E15" s="37">
        <f>IFERROR(XLOOKUP(A15&amp;"_"&amp;TEXT(D15,"0"),Setup_Parameters!$A$35:$A$94,Setup_Parameters!$B$35:$B$94,"Select a score (1-5) to display scoring criteria"),"")</f>
        <v/>
      </c>
      <c r="F15" s="38" t="n"/>
    </row>
    <row r="16" ht="38" customHeight="1">
      <c r="A16" s="21" t="inlineStr">
        <is>
          <t>REV_002</t>
        </is>
      </c>
      <c r="B16" s="21" t="inlineStr">
        <is>
          <t>Rev</t>
        </is>
      </c>
      <c r="C16" s="16" t="inlineStr">
        <is>
          <t>Peak Capacity Utilization</t>
        </is>
      </c>
      <c r="D16" s="36" t="n"/>
      <c r="E16" s="37">
        <f>IFERROR(XLOOKUP(A16&amp;"_"&amp;TEXT(D16,"0"),Setup_Parameters!$A$35:$A$94,Setup_Parameters!$B$35:$B$94,"Select a score (1-5) to display scoring criteria"),"")</f>
        <v/>
      </c>
      <c r="F16" s="38" t="n"/>
    </row>
    <row r="17" ht="38" customHeight="1">
      <c r="A17" s="18" t="inlineStr">
        <is>
          <t>REV_003</t>
        </is>
      </c>
      <c r="B17" s="18" t="inlineStr">
        <is>
          <t>Rev</t>
        </is>
      </c>
      <c r="C17" s="14" t="inlineStr">
        <is>
          <t>Pricing Perception</t>
        </is>
      </c>
      <c r="D17" s="36" t="n"/>
      <c r="E17" s="37">
        <f>IFERROR(XLOOKUP(A17&amp;"_"&amp;TEXT(D17,"0"),Setup_Parameters!$A$35:$A$94,Setup_Parameters!$B$35:$B$94,"Select a score (1-5) to display scoring criteria"),"")</f>
        <v/>
      </c>
      <c r="F17" s="38" t="n"/>
    </row>
    <row r="18" ht="38" customHeight="1">
      <c r="A18" s="21" t="inlineStr">
        <is>
          <t>REV_004</t>
        </is>
      </c>
      <c r="B18" s="21" t="inlineStr">
        <is>
          <t>Rev</t>
        </is>
      </c>
      <c r="C18" s="16" t="inlineStr">
        <is>
          <t>Secondary Spend Opportunity</t>
        </is>
      </c>
      <c r="D18" s="36" t="n"/>
      <c r="E18" s="37">
        <f>IFERROR(XLOOKUP(A18&amp;"_"&amp;TEXT(D18,"0"),Setup_Parameters!$A$35:$A$94,Setup_Parameters!$B$35:$B$94,"Select a score (1-5) to display scoring criteria"),"")</f>
        <v/>
      </c>
      <c r="F18" s="38" t="n"/>
    </row>
    <row r="20" ht="36" customHeight="1">
      <c r="A20" s="34" t="inlineStr">
        <is>
          <t xml:space="preserve">  SHIFT 2: AFTERNOON RUSH  (14:00 – 16:00)</t>
        </is>
      </c>
    </row>
    <row r="21" ht="26" customHeight="1">
      <c r="A21" s="7" t="inlineStr">
        <is>
          <t>Metric ID</t>
        </is>
      </c>
      <c r="B21" s="7" t="inlineStr">
        <is>
          <t>Dimension</t>
        </is>
      </c>
      <c r="C21" s="7" t="inlineStr">
        <is>
          <t>Metric Name</t>
        </is>
      </c>
      <c r="D21" s="7" t="inlineStr">
        <is>
          <t>Score (1-5)</t>
        </is>
      </c>
      <c r="E21" s="7" t="inlineStr">
        <is>
          <t>Scoring Criteria</t>
        </is>
      </c>
      <c r="F21" s="7" t="inlineStr">
        <is>
          <t>Auditor Notes</t>
        </is>
      </c>
    </row>
    <row r="22" ht="38" customHeight="1">
      <c r="A22" s="18" t="inlineStr">
        <is>
          <t>CX_001</t>
        </is>
      </c>
      <c r="B22" s="35" t="inlineStr">
        <is>
          <t>CX</t>
        </is>
      </c>
      <c r="C22" s="14" t="inlineStr">
        <is>
          <t>Service Friendliness</t>
        </is>
      </c>
      <c r="D22" s="36" t="n"/>
      <c r="E22" s="37">
        <f>IFERROR(XLOOKUP(A22&amp;"_"&amp;TEXT(D22,"0"),Setup_Parameters!$A$35:$A$94,Setup_Parameters!$B$35:$B$94,"Select a score (1-5) to display scoring criteria"),"")</f>
        <v/>
      </c>
      <c r="F22" s="38" t="n"/>
    </row>
    <row r="23" ht="38" customHeight="1">
      <c r="A23" s="21" t="inlineStr">
        <is>
          <t>CX_002</t>
        </is>
      </c>
      <c r="B23" s="39" t="inlineStr">
        <is>
          <t>CX</t>
        </is>
      </c>
      <c r="C23" s="16" t="inlineStr">
        <is>
          <t>Queue &amp; Wait Time</t>
        </is>
      </c>
      <c r="D23" s="36" t="n"/>
      <c r="E23" s="37">
        <f>IFERROR(XLOOKUP(A23&amp;"_"&amp;TEXT(D23,"0"),Setup_Parameters!$A$35:$A$94,Setup_Parameters!$B$35:$B$94,"Select a score (1-5) to display scoring criteria"),"")</f>
        <v/>
      </c>
      <c r="F23" s="38" t="n"/>
    </row>
    <row r="24" ht="38" customHeight="1">
      <c r="A24" s="18" t="inlineStr">
        <is>
          <t>CX_003</t>
        </is>
      </c>
      <c r="B24" s="35" t="inlineStr">
        <is>
          <t>CX</t>
        </is>
      </c>
      <c r="C24" s="14" t="inlineStr">
        <is>
          <t>Order Accuracy</t>
        </is>
      </c>
      <c r="D24" s="36" t="n"/>
      <c r="E24" s="37">
        <f>IFERROR(XLOOKUP(A24&amp;"_"&amp;TEXT(D24,"0"),Setup_Parameters!$A$35:$A$94,Setup_Parameters!$B$35:$B$94,"Select a score (1-5) to display scoring criteria"),"")</f>
        <v/>
      </c>
      <c r="F24" s="38" t="n"/>
    </row>
    <row r="25" ht="38" customHeight="1">
      <c r="A25" s="21" t="inlineStr">
        <is>
          <t>CX_004</t>
        </is>
      </c>
      <c r="B25" s="39" t="inlineStr">
        <is>
          <t>CX</t>
        </is>
      </c>
      <c r="C25" s="16" t="inlineStr">
        <is>
          <t>Atmosphere &amp; Seating</t>
        </is>
      </c>
      <c r="D25" s="36" t="n"/>
      <c r="E25" s="37">
        <f>IFERROR(XLOOKUP(A25&amp;"_"&amp;TEXT(D25,"0"),Setup_Parameters!$A$35:$A$94,Setup_Parameters!$B$35:$B$94,"Select a score (1-5) to display scoring criteria"),"")</f>
        <v/>
      </c>
      <c r="F25" s="38" t="n"/>
    </row>
    <row r="26" ht="38" customHeight="1">
      <c r="A26" s="18" t="inlineStr">
        <is>
          <t>OPS_001</t>
        </is>
      </c>
      <c r="B26" s="40" t="inlineStr">
        <is>
          <t>Ops</t>
        </is>
      </c>
      <c r="C26" s="14" t="inlineStr">
        <is>
          <t>Barista Workflow Efficiency</t>
        </is>
      </c>
      <c r="D26" s="36" t="n"/>
      <c r="E26" s="37">
        <f>IFERROR(XLOOKUP(A26&amp;"_"&amp;TEXT(D26,"0"),Setup_Parameters!$A$35:$A$94,Setup_Parameters!$B$35:$B$94,"Select a score (1-5) to display scoring criteria"),"")</f>
        <v/>
      </c>
      <c r="F26" s="38" t="n"/>
    </row>
    <row r="27" ht="38" customHeight="1">
      <c r="A27" s="21" t="inlineStr">
        <is>
          <t>OPS_002</t>
        </is>
      </c>
      <c r="B27" s="41" t="inlineStr">
        <is>
          <t>Ops</t>
        </is>
      </c>
      <c r="C27" s="16" t="inlineStr">
        <is>
          <t>Equipment Reliability</t>
        </is>
      </c>
      <c r="D27" s="36" t="n"/>
      <c r="E27" s="37">
        <f>IFERROR(XLOOKUP(A27&amp;"_"&amp;TEXT(D27,"0"),Setup_Parameters!$A$35:$A$94,Setup_Parameters!$B$35:$B$94,"Select a score (1-5) to display scoring criteria"),"")</f>
        <v/>
      </c>
      <c r="F27" s="38" t="n"/>
    </row>
    <row r="28" ht="38" customHeight="1">
      <c r="A28" s="18" t="inlineStr">
        <is>
          <t>OPS_003</t>
        </is>
      </c>
      <c r="B28" s="40" t="inlineStr">
        <is>
          <t>Ops</t>
        </is>
      </c>
      <c r="C28" s="14" t="inlineStr">
        <is>
          <t>Counter Cleanliness</t>
        </is>
      </c>
      <c r="D28" s="36" t="n"/>
      <c r="E28" s="37">
        <f>IFERROR(XLOOKUP(A28&amp;"_"&amp;TEXT(D28,"0"),Setup_Parameters!$A$35:$A$94,Setup_Parameters!$B$35:$B$94,"Select a score (1-5) to display scoring criteria"),"")</f>
        <v/>
      </c>
      <c r="F28" s="38" t="n"/>
    </row>
    <row r="29" ht="38" customHeight="1">
      <c r="A29" s="21" t="inlineStr">
        <is>
          <t>OPS_004</t>
        </is>
      </c>
      <c r="B29" s="41" t="inlineStr">
        <is>
          <t>Ops</t>
        </is>
      </c>
      <c r="C29" s="16" t="inlineStr">
        <is>
          <t>Menu &amp; Stock Availability</t>
        </is>
      </c>
      <c r="D29" s="36" t="n"/>
      <c r="E29" s="37">
        <f>IFERROR(XLOOKUP(A29&amp;"_"&amp;TEXT(D29,"0"),Setup_Parameters!$A$35:$A$94,Setup_Parameters!$B$35:$B$94,"Select a score (1-5) to display scoring criteria"),"")</f>
        <v/>
      </c>
      <c r="F29" s="38" t="n"/>
    </row>
    <row r="30" ht="38" customHeight="1">
      <c r="A30" s="18" t="inlineStr">
        <is>
          <t>REV_001</t>
        </is>
      </c>
      <c r="B30" s="18" t="inlineStr">
        <is>
          <t>Rev</t>
        </is>
      </c>
      <c r="C30" s="14" t="inlineStr">
        <is>
          <t>Menu Visibility &amp; Upselling</t>
        </is>
      </c>
      <c r="D30" s="36" t="n"/>
      <c r="E30" s="37">
        <f>IFERROR(XLOOKUP(A30&amp;"_"&amp;TEXT(D30,"0"),Setup_Parameters!$A$35:$A$94,Setup_Parameters!$B$35:$B$94,"Select a score (1-5) to display scoring criteria"),"")</f>
        <v/>
      </c>
      <c r="F30" s="38" t="n"/>
    </row>
    <row r="31" ht="38" customHeight="1">
      <c r="A31" s="21" t="inlineStr">
        <is>
          <t>REV_002</t>
        </is>
      </c>
      <c r="B31" s="21" t="inlineStr">
        <is>
          <t>Rev</t>
        </is>
      </c>
      <c r="C31" s="16" t="inlineStr">
        <is>
          <t>Peak Capacity Utilization</t>
        </is>
      </c>
      <c r="D31" s="36" t="n"/>
      <c r="E31" s="37">
        <f>IFERROR(XLOOKUP(A31&amp;"_"&amp;TEXT(D31,"0"),Setup_Parameters!$A$35:$A$94,Setup_Parameters!$B$35:$B$94,"Select a score (1-5) to display scoring criteria"),"")</f>
        <v/>
      </c>
      <c r="F31" s="38" t="n"/>
    </row>
    <row r="32" ht="38" customHeight="1">
      <c r="A32" s="18" t="inlineStr">
        <is>
          <t>REV_003</t>
        </is>
      </c>
      <c r="B32" s="18" t="inlineStr">
        <is>
          <t>Rev</t>
        </is>
      </c>
      <c r="C32" s="14" t="inlineStr">
        <is>
          <t>Pricing Perception</t>
        </is>
      </c>
      <c r="D32" s="36" t="n"/>
      <c r="E32" s="37">
        <f>IFERROR(XLOOKUP(A32&amp;"_"&amp;TEXT(D32,"0"),Setup_Parameters!$A$35:$A$94,Setup_Parameters!$B$35:$B$94,"Select a score (1-5) to display scoring criteria"),"")</f>
        <v/>
      </c>
      <c r="F32" s="38" t="n"/>
    </row>
    <row r="33" ht="38" customHeight="1">
      <c r="A33" s="21" t="inlineStr">
        <is>
          <t>REV_004</t>
        </is>
      </c>
      <c r="B33" s="21" t="inlineStr">
        <is>
          <t>Rev</t>
        </is>
      </c>
      <c r="C33" s="16" t="inlineStr">
        <is>
          <t>Secondary Spend Opportunity</t>
        </is>
      </c>
      <c r="D33" s="36" t="n"/>
      <c r="E33" s="37">
        <f>IFERROR(XLOOKUP(A33&amp;"_"&amp;TEXT(D33,"0"),Setup_Parameters!$A$35:$A$94,Setup_Parameters!$B$35:$B$94,"Select a score (1-5) to display scoring criteria"),"")</f>
        <v/>
      </c>
      <c r="F33" s="38" t="n"/>
    </row>
    <row r="35" ht="36" customHeight="1">
      <c r="A35" s="34" t="inlineStr">
        <is>
          <t xml:space="preserve">  SHIFT 3: OFF-PEAK  (18:00 – 19:00)</t>
        </is>
      </c>
    </row>
    <row r="36" ht="26" customHeight="1">
      <c r="A36" s="7" t="inlineStr">
        <is>
          <t>Metric ID</t>
        </is>
      </c>
      <c r="B36" s="7" t="inlineStr">
        <is>
          <t>Dimension</t>
        </is>
      </c>
      <c r="C36" s="7" t="inlineStr">
        <is>
          <t>Metric Name</t>
        </is>
      </c>
      <c r="D36" s="7" t="inlineStr">
        <is>
          <t>Score (1-5)</t>
        </is>
      </c>
      <c r="E36" s="7" t="inlineStr">
        <is>
          <t>Scoring Criteria</t>
        </is>
      </c>
      <c r="F36" s="7" t="inlineStr">
        <is>
          <t>Auditor Notes</t>
        </is>
      </c>
    </row>
    <row r="37" ht="38" customHeight="1">
      <c r="A37" s="18" t="inlineStr">
        <is>
          <t>CX_001</t>
        </is>
      </c>
      <c r="B37" s="35" t="inlineStr">
        <is>
          <t>CX</t>
        </is>
      </c>
      <c r="C37" s="14" t="inlineStr">
        <is>
          <t>Service Friendliness</t>
        </is>
      </c>
      <c r="D37" s="36" t="n"/>
      <c r="E37" s="37">
        <f>IFERROR(XLOOKUP(A37&amp;"_"&amp;TEXT(D37,"0"),Setup_Parameters!$A$35:$A$94,Setup_Parameters!$B$35:$B$94,"Select a score (1-5) to display scoring criteria"),"")</f>
        <v/>
      </c>
      <c r="F37" s="38" t="n"/>
    </row>
    <row r="38" ht="38" customHeight="1">
      <c r="A38" s="21" t="inlineStr">
        <is>
          <t>CX_002</t>
        </is>
      </c>
      <c r="B38" s="39" t="inlineStr">
        <is>
          <t>CX</t>
        </is>
      </c>
      <c r="C38" s="16" t="inlineStr">
        <is>
          <t>Queue &amp; Wait Time</t>
        </is>
      </c>
      <c r="D38" s="36" t="n"/>
      <c r="E38" s="37">
        <f>IFERROR(XLOOKUP(A38&amp;"_"&amp;TEXT(D38,"0"),Setup_Parameters!$A$35:$A$94,Setup_Parameters!$B$35:$B$94,"Select a score (1-5) to display scoring criteria"),"")</f>
        <v/>
      </c>
      <c r="F38" s="38" t="n"/>
    </row>
    <row r="39" ht="38" customHeight="1">
      <c r="A39" s="18" t="inlineStr">
        <is>
          <t>CX_003</t>
        </is>
      </c>
      <c r="B39" s="35" t="inlineStr">
        <is>
          <t>CX</t>
        </is>
      </c>
      <c r="C39" s="14" t="inlineStr">
        <is>
          <t>Order Accuracy</t>
        </is>
      </c>
      <c r="D39" s="36" t="n"/>
      <c r="E39" s="37">
        <f>IFERROR(XLOOKUP(A39&amp;"_"&amp;TEXT(D39,"0"),Setup_Parameters!$A$35:$A$94,Setup_Parameters!$B$35:$B$94,"Select a score (1-5) to display scoring criteria"),"")</f>
        <v/>
      </c>
      <c r="F39" s="38" t="n"/>
    </row>
    <row r="40" ht="38" customHeight="1">
      <c r="A40" s="21" t="inlineStr">
        <is>
          <t>CX_004</t>
        </is>
      </c>
      <c r="B40" s="39" t="inlineStr">
        <is>
          <t>CX</t>
        </is>
      </c>
      <c r="C40" s="16" t="inlineStr">
        <is>
          <t>Atmosphere &amp; Seating</t>
        </is>
      </c>
      <c r="D40" s="36" t="n"/>
      <c r="E40" s="37">
        <f>IFERROR(XLOOKUP(A40&amp;"_"&amp;TEXT(D40,"0"),Setup_Parameters!$A$35:$A$94,Setup_Parameters!$B$35:$B$94,"Select a score (1-5) to display scoring criteria"),"")</f>
        <v/>
      </c>
      <c r="F40" s="38" t="n"/>
    </row>
    <row r="41" ht="38" customHeight="1">
      <c r="A41" s="18" t="inlineStr">
        <is>
          <t>OPS_001</t>
        </is>
      </c>
      <c r="B41" s="40" t="inlineStr">
        <is>
          <t>Ops</t>
        </is>
      </c>
      <c r="C41" s="14" t="inlineStr">
        <is>
          <t>Barista Workflow Efficiency</t>
        </is>
      </c>
      <c r="D41" s="36" t="n"/>
      <c r="E41" s="37">
        <f>IFERROR(XLOOKUP(A41&amp;"_"&amp;TEXT(D41,"0"),Setup_Parameters!$A$35:$A$94,Setup_Parameters!$B$35:$B$94,"Select a score (1-5) to display scoring criteria"),"")</f>
        <v/>
      </c>
      <c r="F41" s="38" t="n"/>
    </row>
    <row r="42" ht="38" customHeight="1">
      <c r="A42" s="21" t="inlineStr">
        <is>
          <t>OPS_002</t>
        </is>
      </c>
      <c r="B42" s="41" t="inlineStr">
        <is>
          <t>Ops</t>
        </is>
      </c>
      <c r="C42" s="16" t="inlineStr">
        <is>
          <t>Equipment Reliability</t>
        </is>
      </c>
      <c r="D42" s="36" t="n"/>
      <c r="E42" s="37">
        <f>IFERROR(XLOOKUP(A42&amp;"_"&amp;TEXT(D42,"0"),Setup_Parameters!$A$35:$A$94,Setup_Parameters!$B$35:$B$94,"Select a score (1-5) to display scoring criteria"),"")</f>
        <v/>
      </c>
      <c r="F42" s="38" t="n"/>
    </row>
    <row r="43" ht="38" customHeight="1">
      <c r="A43" s="18" t="inlineStr">
        <is>
          <t>OPS_003</t>
        </is>
      </c>
      <c r="B43" s="40" t="inlineStr">
        <is>
          <t>Ops</t>
        </is>
      </c>
      <c r="C43" s="14" t="inlineStr">
        <is>
          <t>Counter Cleanliness</t>
        </is>
      </c>
      <c r="D43" s="36" t="n"/>
      <c r="E43" s="37">
        <f>IFERROR(XLOOKUP(A43&amp;"_"&amp;TEXT(D43,"0"),Setup_Parameters!$A$35:$A$94,Setup_Parameters!$B$35:$B$94,"Select a score (1-5) to display scoring criteria"),"")</f>
        <v/>
      </c>
      <c r="F43" s="38" t="n"/>
    </row>
    <row r="44" ht="38" customHeight="1">
      <c r="A44" s="21" t="inlineStr">
        <is>
          <t>OPS_004</t>
        </is>
      </c>
      <c r="B44" s="41" t="inlineStr">
        <is>
          <t>Ops</t>
        </is>
      </c>
      <c r="C44" s="16" t="inlineStr">
        <is>
          <t>Menu &amp; Stock Availability</t>
        </is>
      </c>
      <c r="D44" s="36" t="n"/>
      <c r="E44" s="37">
        <f>IFERROR(XLOOKUP(A44&amp;"_"&amp;TEXT(D44,"0"),Setup_Parameters!$A$35:$A$94,Setup_Parameters!$B$35:$B$94,"Select a score (1-5) to display scoring criteria"),"")</f>
        <v/>
      </c>
      <c r="F44" s="38" t="n"/>
    </row>
    <row r="45" ht="38" customHeight="1">
      <c r="A45" s="18" t="inlineStr">
        <is>
          <t>REV_001</t>
        </is>
      </c>
      <c r="B45" s="18" t="inlineStr">
        <is>
          <t>Rev</t>
        </is>
      </c>
      <c r="C45" s="14" t="inlineStr">
        <is>
          <t>Menu Visibility &amp; Upselling</t>
        </is>
      </c>
      <c r="D45" s="36" t="n"/>
      <c r="E45" s="37">
        <f>IFERROR(XLOOKUP(A45&amp;"_"&amp;TEXT(D45,"0"),Setup_Parameters!$A$35:$A$94,Setup_Parameters!$B$35:$B$94,"Select a score (1-5) to display scoring criteria"),"")</f>
        <v/>
      </c>
      <c r="F45" s="38" t="n"/>
    </row>
    <row r="46" ht="38" customHeight="1">
      <c r="A46" s="21" t="inlineStr">
        <is>
          <t>REV_002</t>
        </is>
      </c>
      <c r="B46" s="21" t="inlineStr">
        <is>
          <t>Rev</t>
        </is>
      </c>
      <c r="C46" s="16" t="inlineStr">
        <is>
          <t>Peak Capacity Utilization</t>
        </is>
      </c>
      <c r="D46" s="36" t="n"/>
      <c r="E46" s="37">
        <f>IFERROR(XLOOKUP(A46&amp;"_"&amp;TEXT(D46,"0"),Setup_Parameters!$A$35:$A$94,Setup_Parameters!$B$35:$B$94,"Select a score (1-5) to display scoring criteria"),"")</f>
        <v/>
      </c>
      <c r="F46" s="38" t="n"/>
    </row>
    <row r="47" ht="38" customHeight="1">
      <c r="A47" s="18" t="inlineStr">
        <is>
          <t>REV_003</t>
        </is>
      </c>
      <c r="B47" s="18" t="inlineStr">
        <is>
          <t>Rev</t>
        </is>
      </c>
      <c r="C47" s="14" t="inlineStr">
        <is>
          <t>Pricing Perception</t>
        </is>
      </c>
      <c r="D47" s="36" t="n"/>
      <c r="E47" s="37">
        <f>IFERROR(XLOOKUP(A47&amp;"_"&amp;TEXT(D47,"0"),Setup_Parameters!$A$35:$A$94,Setup_Parameters!$B$35:$B$94,"Select a score (1-5) to display scoring criteria"),"")</f>
        <v/>
      </c>
      <c r="F47" s="38" t="n"/>
    </row>
    <row r="48" ht="38" customHeight="1">
      <c r="A48" s="21" t="inlineStr">
        <is>
          <t>REV_004</t>
        </is>
      </c>
      <c r="B48" s="21" t="inlineStr">
        <is>
          <t>Rev</t>
        </is>
      </c>
      <c r="C48" s="16" t="inlineStr">
        <is>
          <t>Secondary Spend Opportunity</t>
        </is>
      </c>
      <c r="D48" s="36" t="n"/>
      <c r="E48" s="37">
        <f>IFERROR(XLOOKUP(A48&amp;"_"&amp;TEXT(D48,"0"),Setup_Parameters!$A$35:$A$94,Setup_Parameters!$B$35:$B$94,"Select a score (1-5) to display scoring criteria"),"")</f>
        <v/>
      </c>
      <c r="F48" s="38" t="n"/>
    </row>
    <row r="50" ht="36" customHeight="1">
      <c r="A50" s="2" t="inlineStr">
        <is>
          <t xml:space="preserve">  FINANCIAL LEAKAGE INPUTS</t>
        </is>
      </c>
    </row>
    <row r="51" ht="34" customHeight="1">
      <c r="A51" s="42" t="inlineStr">
        <is>
          <t>Observed Lost Customers (Daily):</t>
        </is>
      </c>
      <c r="D51" s="36" t="n">
        <v>0</v>
      </c>
      <c r="E51" s="43" t="inlineStr">
        <is>
          <t>Count of customers who left due to queue, unavailability, or experience failure</t>
        </is>
      </c>
    </row>
  </sheetData>
  <mergeCells count="6">
    <mergeCell ref="A50:H50"/>
    <mergeCell ref="A1:H1"/>
    <mergeCell ref="A35:H35"/>
    <mergeCell ref="A20:H20"/>
    <mergeCell ref="A5:H5"/>
    <mergeCell ref="A51:C51"/>
  </mergeCells>
  <dataValidations count="1">
    <dataValidation sqref="D7 D8 D9 D10 D11 D12 D13 D14 D15 D16 D17 D18 D22 D23 D24 D25 D26 D27 D28 D29 D30 D31 D32 D33 D37 D38 D39 D40 D41 D42 D43 D44 D45 D46 D47 D48" showDropDown="0" showInputMessage="1" showErrorMessage="1" allowBlank="1" errorTitle="Invalid Score" error="Enter a whole number from 1 to 5 only." promptTitle="Score  (1 – 5)" prompt="1=Critical Failure | 2=Below Standard | 3=Meets Standard | 4=Above Standard | 5=Exceptional" type="list">
      <formula1>"1,2,3,4,5"</formula1>
    </dataValidation>
  </dataValidations>
  <pageMargins left="0.75" right="0.75" top="1" bottom="1" header="0.5" footer="0.5"/>
</worksheet>
</file>

<file path=xl/worksheets/sheet3.xml><?xml version="1.0" encoding="utf-8"?>
<worksheet xmlns="http://schemas.openxmlformats.org/spreadsheetml/2006/main">
  <sheetPr>
    <tabColor rgb="00134E64"/>
    <outlinePr summaryBelow="1" summaryRight="1"/>
    <pageSetUpPr/>
  </sheetPr>
  <dimension ref="A1:F32"/>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40" customWidth="1" min="6" max="6"/>
  </cols>
  <sheetData>
    <row r="1" ht="40" customHeight="1">
      <c r="A1" s="44" t="inlineStr">
        <is>
          <t xml:space="preserve">  CALC ENGINE  ·  All formulas locked  ·  Hidden in client deliverable  ·  Do not edit</t>
        </is>
      </c>
    </row>
    <row r="2" ht="22" customHeight="1">
      <c r="A2" s="45" t="inlineStr">
        <is>
          <t>This sheet feeds the Dashboard. It is hidden via right-click &gt; Hide after delivery.</t>
        </is>
      </c>
    </row>
    <row r="3" ht="30" customHeight="1">
      <c r="A3" s="24" t="inlineStr">
        <is>
          <t xml:space="preserve">  SECTION 1  –  DIMENSION SCORE AVERAGES  (per shift + overall)</t>
        </is>
      </c>
    </row>
    <row r="4" ht="26" customHeight="1">
      <c r="A4" s="7" t="inlineStr">
        <is>
          <t>Dimension</t>
        </is>
      </c>
      <c r="B4" s="7" t="inlineStr">
        <is>
          <t>S1 Morning</t>
        </is>
      </c>
      <c r="C4" s="7" t="inlineStr">
        <is>
          <t>S2 Afternoon</t>
        </is>
      </c>
      <c r="D4" s="7" t="inlineStr">
        <is>
          <t>S3 Off-Peak</t>
        </is>
      </c>
      <c r="E4" s="7" t="inlineStr">
        <is>
          <t>Overall Avg</t>
        </is>
      </c>
      <c r="F4" s="7" t="inlineStr">
        <is>
          <t>Benchmark (from Setup)</t>
        </is>
      </c>
    </row>
    <row r="5" ht="26" customHeight="1">
      <c r="A5" s="8" t="inlineStr">
        <is>
          <t>Customer Experience (CX)</t>
        </is>
      </c>
      <c r="B5" s="46">
        <f>IFERROR(AVERAGE(Input_Data!$D$7:$D$10),"")</f>
        <v/>
      </c>
      <c r="C5" s="46">
        <f>IFERROR(AVERAGE(Input_Data!$D$22:$D$25),"")</f>
        <v/>
      </c>
      <c r="D5" s="46">
        <f>IFERROR(AVERAGE(Input_Data!$D$37:$D$40),"")</f>
        <v/>
      </c>
      <c r="E5" s="47">
        <f>IFERROR(AVERAGEIF(B5:D5,"&gt;0"),"")</f>
        <v/>
      </c>
      <c r="F5" s="48">
        <f>IFERROR(Setup_Parameters!$B$14,"")</f>
        <v/>
      </c>
    </row>
    <row r="6" ht="26" customHeight="1">
      <c r="A6" s="11" t="inlineStr">
        <is>
          <t>Operations (Ops)</t>
        </is>
      </c>
      <c r="B6" s="49">
        <f>IFERROR(AVERAGE(Input_Data!$D$11:$D$14),"")</f>
        <v/>
      </c>
      <c r="C6" s="49">
        <f>IFERROR(AVERAGE(Input_Data!$D$26:$D$29),"")</f>
        <v/>
      </c>
      <c r="D6" s="49">
        <f>IFERROR(AVERAGE(Input_Data!$D$41:$D$44),"")</f>
        <v/>
      </c>
      <c r="E6" s="50">
        <f>IFERROR(AVERAGEIF(B6:D6,"&gt;0"),"")</f>
        <v/>
      </c>
      <c r="F6" s="51">
        <f>IFERROR(Setup_Parameters!$B$15,"")</f>
        <v/>
      </c>
    </row>
    <row r="7" ht="26" customHeight="1">
      <c r="A7" s="8" t="inlineStr">
        <is>
          <t>Revenue Opportunity (Rev)</t>
        </is>
      </c>
      <c r="B7" s="46">
        <f>IFERROR(AVERAGE(Input_Data!$D$15:$D$18),"")</f>
        <v/>
      </c>
      <c r="C7" s="46">
        <f>IFERROR(AVERAGE(Input_Data!$D$30:$D$33),"")</f>
        <v/>
      </c>
      <c r="D7" s="46">
        <f>IFERROR(AVERAGE(Input_Data!$D$45:$D$48),"")</f>
        <v/>
      </c>
      <c r="E7" s="47">
        <f>IFERROR(AVERAGEIF(B7:D7,"&gt;0"),"")</f>
        <v/>
      </c>
      <c r="F7" s="48">
        <f>IFERROR(Setup_Parameters!$B$16,"")</f>
        <v/>
      </c>
    </row>
    <row r="8" ht="8" customHeight="1"/>
    <row r="9" ht="30" customHeight="1">
      <c r="A9" s="24" t="inlineStr">
        <is>
          <t xml:space="preserve">  SECTION 2  –  WEIGHTED OVERALL SCORE  &amp;  PERFORMANCE GRADE</t>
        </is>
      </c>
    </row>
    <row r="10" ht="24" customHeight="1">
      <c r="A10" s="10" t="inlineStr">
        <is>
          <t>Active Store Type</t>
        </is>
      </c>
      <c r="B10" s="35">
        <f>Setup_Parameters!$B$4</f>
        <v/>
      </c>
    </row>
    <row r="11" ht="30" customHeight="1">
      <c r="A11" s="8" t="inlineStr">
        <is>
          <t>Overall Weighted Score  (0.0 – 5.0)</t>
        </is>
      </c>
      <c r="B11" s="52">
        <f>IFERROR(SUMPRODUCT(CHOOSE(MATCH(Setup_Parameters!$B$4,{"Speed-First","Space-First"},0),Setup_Parameters!$B$8:$B$10,Setup_Parameters!$C$8:$C$10),IFERROR(E5:E7*1,0)),"")</f>
        <v/>
      </c>
    </row>
    <row r="12" ht="30" customHeight="1">
      <c r="A12" s="8" t="inlineStr">
        <is>
          <t>Performance Grade</t>
        </is>
      </c>
      <c r="B12" s="53">
        <f>IFERROR(IFS(B11&gt;=4.5,"S",B11&gt;=4.0,"A",B11&gt;=3.0,"B",B11&gt;=2.0,"C",B11&lt;2.0,"F"),"")</f>
        <v/>
      </c>
    </row>
    <row r="13" ht="8" customHeight="1"/>
    <row r="14" ht="30" customHeight="1">
      <c r="A14" s="24" t="inlineStr">
        <is>
          <t xml:space="preserve">  SECTION 3  –  FINANCIAL LEAKAGE CALCULATOR</t>
        </is>
      </c>
    </row>
    <row r="15" ht="26" customHeight="1">
      <c r="A15" s="10" t="inlineStr">
        <is>
          <t>Observed Lost Customers (Daily)</t>
        </is>
      </c>
      <c r="B15" s="54">
        <f>IFERROR(Input_Data!$D$51,0)</f>
        <v/>
      </c>
    </row>
    <row r="16" ht="26" customHeight="1">
      <c r="A16" s="10" t="inlineStr">
        <is>
          <t>Average Spend Per Customer (ASP)</t>
        </is>
      </c>
      <c r="B16" s="55">
        <f>IFERROR(Setup_Parameters!$E$4,4.50)</f>
        <v/>
      </c>
    </row>
    <row r="17" ht="26" customHeight="1">
      <c r="A17" s="56" t="inlineStr">
        <is>
          <t>Monthly Revenue Leakage</t>
        </is>
      </c>
      <c r="B17" s="57">
        <f>IFERROR(B15*B16*30,"")</f>
        <v/>
      </c>
    </row>
    <row r="18" ht="8" customHeight="1"/>
    <row r="19" ht="30" customHeight="1">
      <c r="A19" s="24" t="inlineStr">
        <is>
          <t xml:space="preserve">  SECTION 4  –  METRIC REPORT TABLE  ·  Source for FILTER formula on Dashboard  (named: Metric_Report_Range)</t>
        </is>
      </c>
    </row>
    <row r="20" ht="26" customHeight="1">
      <c r="A20" s="25" t="inlineStr">
        <is>
          <t>Metric_ID</t>
        </is>
      </c>
      <c r="B20" s="25" t="inlineStr">
        <is>
          <t>Dimension</t>
        </is>
      </c>
      <c r="C20" s="25" t="inlineStr">
        <is>
          <t>Metric_Name</t>
        </is>
      </c>
      <c r="D20" s="25" t="inlineStr">
        <is>
          <t>Avg_Score</t>
        </is>
      </c>
      <c r="E20" s="25" t="inlineStr">
        <is>
          <t>Recommended_Action</t>
        </is>
      </c>
      <c r="F20" s="25" t="inlineStr">
        <is>
          <t>Is_RedFlag</t>
        </is>
      </c>
    </row>
    <row r="21" ht="30" customHeight="1">
      <c r="A21" s="18" t="inlineStr">
        <is>
          <t>CX_001</t>
        </is>
      </c>
      <c r="B21" s="19" t="inlineStr">
        <is>
          <t>CX</t>
        </is>
      </c>
      <c r="C21" s="14" t="inlineStr">
        <is>
          <t>Service Friendliness</t>
        </is>
      </c>
      <c r="D21" s="58">
        <f>IFERROR(AVERAGE(Input_Data!$D$7,Input_Data!$D$22,Input_Data!$D$37),"")</f>
        <v/>
      </c>
      <c r="E21" s="27" t="inlineStr">
        <is>
          <t>Implement service standards training. Introduce daily briefing for hospitality KPIs.</t>
        </is>
      </c>
      <c r="F21" s="59">
        <f>IF(ISNUMBER(D21),D21&lt;2.5,FALSE)</f>
        <v/>
      </c>
    </row>
    <row r="22" ht="30" customHeight="1">
      <c r="A22" s="21" t="inlineStr">
        <is>
          <t>CX_002</t>
        </is>
      </c>
      <c r="B22" s="22" t="inlineStr">
        <is>
          <t>CX</t>
        </is>
      </c>
      <c r="C22" s="16" t="inlineStr">
        <is>
          <t>Queue &amp; Wait Time</t>
        </is>
      </c>
      <c r="D22" s="60">
        <f>IFERROR(AVERAGE(Input_Data!$D$8,Input_Data!$D$23,Input_Data!$D$38),"")</f>
        <v/>
      </c>
      <c r="E22" s="26" t="inlineStr">
        <is>
          <t>Deploy queue management system. Train staff on proactive ETA communication.</t>
        </is>
      </c>
      <c r="F22" s="61">
        <f>IF(ISNUMBER(D22),D22&lt;2.5,FALSE)</f>
        <v/>
      </c>
    </row>
    <row r="23" ht="30" customHeight="1">
      <c r="A23" s="18" t="inlineStr">
        <is>
          <t>CX_003</t>
        </is>
      </c>
      <c r="B23" s="19" t="inlineStr">
        <is>
          <t>CX</t>
        </is>
      </c>
      <c r="C23" s="14" t="inlineStr">
        <is>
          <t>Order Accuracy</t>
        </is>
      </c>
      <c r="D23" s="58">
        <f>IFERROR(AVERAGE(Input_Data!$D$9,Input_Data!$D$24,Input_Data!$D$39),"")</f>
        <v/>
      </c>
      <c r="E23" s="27" t="inlineStr">
        <is>
          <t>Introduce order verification checklist. Review drink ticketing workflow end-to-end.</t>
        </is>
      </c>
      <c r="F23" s="59">
        <f>IF(ISNUMBER(D23),D23&lt;2.5,FALSE)</f>
        <v/>
      </c>
    </row>
    <row r="24" ht="30" customHeight="1">
      <c r="A24" s="21" t="inlineStr">
        <is>
          <t>CX_004</t>
        </is>
      </c>
      <c r="B24" s="22" t="inlineStr">
        <is>
          <t>CX</t>
        </is>
      </c>
      <c r="C24" s="16" t="inlineStr">
        <is>
          <t>Atmosphere &amp; Seating</t>
        </is>
      </c>
      <c r="D24" s="60">
        <f>IFERROR(AVERAGE(Input_Data!$D$10,Input_Data!$D$25,Input_Data!$D$40),"")</f>
        <v/>
      </c>
      <c r="E24" s="26" t="inlineStr">
        <is>
          <t>Conduct seating audit. Address noise and temperature. Schedule deep-clean cycle.</t>
        </is>
      </c>
      <c r="F24" s="61">
        <f>IF(ISNUMBER(D24),D24&lt;2.5,FALSE)</f>
        <v/>
      </c>
    </row>
    <row r="25" ht="30" customHeight="1">
      <c r="A25" s="18" t="inlineStr">
        <is>
          <t>OPS_001</t>
        </is>
      </c>
      <c r="B25" s="19" t="inlineStr">
        <is>
          <t>Ops</t>
        </is>
      </c>
      <c r="C25" s="14" t="inlineStr">
        <is>
          <t>Barista Workflow Efficiency</t>
        </is>
      </c>
      <c r="D25" s="58">
        <f>IFERROR(AVERAGE(Input_Data!$D$11,Input_Data!$D$26,Input_Data!$D$41),"")</f>
        <v/>
      </c>
      <c r="E25" s="27" t="inlineStr">
        <is>
          <t>Map current workflow. Implement station layout redesign. Cross-train all staff.</t>
        </is>
      </c>
      <c r="F25" s="59">
        <f>IF(ISNUMBER(D25),D25&lt;2.5,FALSE)</f>
        <v/>
      </c>
    </row>
    <row r="26" ht="30" customHeight="1">
      <c r="A26" s="21" t="inlineStr">
        <is>
          <t>OPS_002</t>
        </is>
      </c>
      <c r="B26" s="22" t="inlineStr">
        <is>
          <t>Ops</t>
        </is>
      </c>
      <c r="C26" s="16" t="inlineStr">
        <is>
          <t>Equipment Reliability</t>
        </is>
      </c>
      <c r="D26" s="60">
        <f>IFERROR(AVERAGE(Input_Data!$D$12,Input_Data!$D$27,Input_Data!$D$42),"")</f>
        <v/>
      </c>
      <c r="E26" s="26" t="inlineStr">
        <is>
          <t>Schedule preventive maintenance. Build equipment checklist. Source backup units.</t>
        </is>
      </c>
      <c r="F26" s="61">
        <f>IF(ISNUMBER(D26),D26&lt;2.5,FALSE)</f>
        <v/>
      </c>
    </row>
    <row r="27" ht="30" customHeight="1">
      <c r="A27" s="18" t="inlineStr">
        <is>
          <t>OPS_003</t>
        </is>
      </c>
      <c r="B27" s="19" t="inlineStr">
        <is>
          <t>Ops</t>
        </is>
      </c>
      <c r="C27" s="14" t="inlineStr">
        <is>
          <t>Counter Cleanliness</t>
        </is>
      </c>
      <c r="D27" s="58">
        <f>IFERROR(AVERAGE(Input_Data!$D$13,Input_Data!$D$28,Input_Data!$D$43),"")</f>
        <v/>
      </c>
      <c r="E27" s="27" t="inlineStr">
        <is>
          <t>Implement hourly cleaning schedule. Assign counter ownership per staff member.</t>
        </is>
      </c>
      <c r="F27" s="59">
        <f>IF(ISNUMBER(D27),D27&lt;2.5,FALSE)</f>
        <v/>
      </c>
    </row>
    <row r="28" ht="30" customHeight="1">
      <c r="A28" s="21" t="inlineStr">
        <is>
          <t>OPS_004</t>
        </is>
      </c>
      <c r="B28" s="22" t="inlineStr">
        <is>
          <t>Ops</t>
        </is>
      </c>
      <c r="C28" s="16" t="inlineStr">
        <is>
          <t>Menu &amp; Stock Availability</t>
        </is>
      </c>
      <c r="D28" s="60">
        <f>IFERROR(AVERAGE(Input_Data!$D$14,Input_Data!$D$29,Input_Data!$D$44),"")</f>
        <v/>
      </c>
      <c r="E28" s="26" t="inlineStr">
        <is>
          <t>Deploy real-time inventory tracking. Implement 80/20 par-level restocking system.</t>
        </is>
      </c>
      <c r="F28" s="61">
        <f>IF(ISNUMBER(D28),D28&lt;2.5,FALSE)</f>
        <v/>
      </c>
    </row>
    <row r="29" ht="30" customHeight="1">
      <c r="A29" s="18" t="inlineStr">
        <is>
          <t>REV_001</t>
        </is>
      </c>
      <c r="B29" s="19" t="inlineStr">
        <is>
          <t>Rev</t>
        </is>
      </c>
      <c r="C29" s="14" t="inlineStr">
        <is>
          <t>Menu Visibility &amp; Upselling</t>
        </is>
      </c>
      <c r="D29" s="58">
        <f>IFERROR(AVERAGE(Input_Data!$D$15,Input_Data!$D$30,Input_Data!$D$45),"")</f>
        <v/>
      </c>
      <c r="E29" s="27" t="inlineStr">
        <is>
          <t>Redesign menu board layout. Script upsell prompts. Introduce combo promotions.</t>
        </is>
      </c>
      <c r="F29" s="59">
        <f>IF(ISNUMBER(D29),D29&lt;2.5,FALSE)</f>
        <v/>
      </c>
    </row>
    <row r="30" ht="30" customHeight="1">
      <c r="A30" s="21" t="inlineStr">
        <is>
          <t>REV_002</t>
        </is>
      </c>
      <c r="B30" s="22" t="inlineStr">
        <is>
          <t>Rev</t>
        </is>
      </c>
      <c r="C30" s="16" t="inlineStr">
        <is>
          <t>Peak Capacity Utilization</t>
        </is>
      </c>
      <c r="D30" s="60">
        <f>IFERROR(AVERAGE(Input_Data!$D$16,Input_Data!$D$31,Input_Data!$D$46),"")</f>
        <v/>
      </c>
      <c r="E30" s="26" t="inlineStr">
        <is>
          <t>Implement reservation or queue-ahead system. Install peak-hour promotional signage.</t>
        </is>
      </c>
      <c r="F30" s="61">
        <f>IF(ISNUMBER(D30),D30&lt;2.5,FALSE)</f>
        <v/>
      </c>
    </row>
    <row r="31" ht="30" customHeight="1">
      <c r="A31" s="18" t="inlineStr">
        <is>
          <t>REV_003</t>
        </is>
      </c>
      <c r="B31" s="19" t="inlineStr">
        <is>
          <t>Rev</t>
        </is>
      </c>
      <c r="C31" s="14" t="inlineStr">
        <is>
          <t>Pricing Perception</t>
        </is>
      </c>
      <c r="D31" s="58">
        <f>IFERROR(AVERAGE(Input_Data!$D$17,Input_Data!$D$32,Input_Data!$D$47),"")</f>
        <v/>
      </c>
      <c r="E31" s="27" t="inlineStr">
        <is>
          <t>Review pricing vs local competitive set. Strengthen premium product storytelling.</t>
        </is>
      </c>
      <c r="F31" s="59">
        <f>IF(ISNUMBER(D31),D31&lt;2.5,FALSE)</f>
        <v/>
      </c>
    </row>
    <row r="32" ht="30" customHeight="1">
      <c r="A32" s="21" t="inlineStr">
        <is>
          <t>REV_004</t>
        </is>
      </c>
      <c r="B32" s="22" t="inlineStr">
        <is>
          <t>Rev</t>
        </is>
      </c>
      <c r="C32" s="16" t="inlineStr">
        <is>
          <t>Secondary Spend Opportunity</t>
        </is>
      </c>
      <c r="D32" s="60">
        <f>IFERROR(AVERAGE(Input_Data!$D$18,Input_Data!$D$33,Input_Data!$D$48),"")</f>
        <v/>
      </c>
      <c r="E32" s="26" t="inlineStr">
        <is>
          <t>Introduce grab-and-go retail section. Train staff on cross-selling protocol.</t>
        </is>
      </c>
      <c r="F32" s="61">
        <f>IF(ISNUMBER(D32),D32&lt;2.5,FALSE)</f>
        <v/>
      </c>
    </row>
    <row r="33" ht="22" customHeight="1"/>
    <row r="34" ht="22" customHeight="1"/>
    <row r="35" ht="22" customHeight="1"/>
    <row r="36" ht="22" customHeight="1"/>
    <row r="37" ht="22" customHeight="1"/>
    <row r="38" ht="22" customHeight="1"/>
    <row r="39" ht="22" customHeight="1"/>
  </sheetData>
  <mergeCells count="5">
    <mergeCell ref="A19:F19"/>
    <mergeCell ref="A14:F14"/>
    <mergeCell ref="A1:F1"/>
    <mergeCell ref="A9:F9"/>
    <mergeCell ref="A3:F3"/>
  </mergeCells>
  <conditionalFormatting sqref="D21:D32">
    <cfRule type="cellIs" priority="1" operator="lessThan" dxfId="0">
      <formula>2.5</formula>
    </cfRule>
  </conditionalFormatting>
  <pageMargins left="0.75" right="0.75" top="1" bottom="1" header="0.5" footer="0.5"/>
</worksheet>
</file>

<file path=xl/worksheets/sheet4.xml><?xml version="1.0" encoding="utf-8"?>
<worksheet xmlns="http://schemas.openxmlformats.org/spreadsheetml/2006/main">
  <sheetPr>
    <tabColor rgb="002251FF"/>
    <outlinePr summaryBelow="1" summaryRight="1"/>
    <pageSetUpPr fitToPage="1"/>
  </sheetPr>
  <dimension ref="A1:H45"/>
  <sheetViews>
    <sheetView showGridLines="0" workbookViewId="0">
      <selection activeCell="A1" sqref="A1"/>
    </sheetView>
  </sheetViews>
  <sheetFormatPr baseColWidth="8" defaultRowHeight="15"/>
  <cols>
    <col width="11" customWidth="1" min="1" max="1"/>
    <col width="8" customWidth="1" min="2" max="2"/>
    <col width="20" customWidth="1" min="3" max="3"/>
    <col width="9" customWidth="1" min="4" max="4"/>
    <col width="14" customWidth="1" min="5" max="5"/>
    <col width="12" customWidth="1" min="6" max="6"/>
    <col width="11" customWidth="1" min="7" max="7"/>
    <col width="7" customWidth="1" min="8" max="8"/>
  </cols>
  <sheetData>
    <row r="1" ht="46" customHeight="1">
      <c r="A1" s="62" t="inlineStr">
        <is>
          <t xml:space="preserve">  CAFÉ AUDIT REPORT  ·  3-Dimension Diagnostic Dashboard</t>
        </is>
      </c>
    </row>
    <row r="2" ht="28" customHeight="1">
      <c r="A2" s="63">
        <f>IFERROR("Café: "&amp;Input_Data!$B$2,"")</f>
        <v/>
      </c>
      <c r="C2" s="63">
        <f>IFERROR("Date: "&amp;TEXT(Input_Data!$D$2,"DD-MMM-YYYY"),"")</f>
        <v/>
      </c>
      <c r="E2" s="63">
        <f>IFERROR("Type: "&amp;Input_Data!$B$3,"")</f>
        <v/>
      </c>
      <c r="G2" s="63">
        <f>IFERROR("Auditor: "&amp;Input_Data!$F$2,"")</f>
        <v/>
      </c>
    </row>
    <row r="3" ht="10" customHeight="1"/>
    <row r="4" ht="24" customHeight="1">
      <c r="A4" s="64" t="inlineStr">
        <is>
          <t>OVERALL SCORE</t>
        </is>
      </c>
      <c r="D4" s="64" t="inlineStr">
        <is>
          <t>PERFORMANCE GRADE</t>
        </is>
      </c>
      <c r="G4" s="64" t="inlineStr">
        <is>
          <t>REV. LEAKAGE / MO.</t>
        </is>
      </c>
    </row>
    <row r="5" ht="68" customHeight="1">
      <c r="A5" s="65">
        <f>IFERROR(TEXT(Calc_Engine!$B$11,"0.0")&amp;"  /  5.0","–")</f>
        <v/>
      </c>
      <c r="D5" s="66">
        <f>IFERROR(Calc_Engine!$B$12,"–")</f>
        <v/>
      </c>
      <c r="G5" s="67">
        <f>IFERROR(TEXT(Calc_Engine!$B$17,"$#,##0"),"$–")</f>
        <v/>
      </c>
    </row>
    <row r="6" ht="22" customHeight="1">
      <c r="A6" s="68" t="inlineStr">
        <is>
          <t>Weighted composite  ·  CX + Ops + Rev</t>
        </is>
      </c>
      <c r="D6" s="68" t="inlineStr">
        <is>
          <t>S &gt;= 4.5  |  A &gt;= 4.0  |  B &gt;= 3.0  |  C &gt;= 2.0  |  F &lt; 2.0</t>
        </is>
      </c>
      <c r="G6" s="68" t="inlineStr">
        <is>
          <t>Alert if &gt; $500 / month</t>
        </is>
      </c>
    </row>
    <row r="7" ht="32" customHeight="1">
      <c r="A7" s="69">
        <f>IFERROR("CX   "&amp;TEXT(Calc_Engine!$E$5,"0.00")&amp;"  /  5.0","CX  –")</f>
        <v/>
      </c>
      <c r="D7" s="69">
        <f>IFERROR("OPS  "&amp;TEXT(Calc_Engine!$E$6,"0.00")&amp;"  /  5.0","OPS  –")</f>
        <v/>
      </c>
      <c r="G7" s="69">
        <f>IFERROR("REV  "&amp;TEXT(Calc_Engine!$E$7,"0.00")&amp;"  /  5.0","REV  –")</f>
        <v/>
      </c>
    </row>
    <row r="8" ht="6" customHeight="1">
      <c r="A8" s="70" t="n"/>
      <c r="B8" s="70" t="n"/>
      <c r="C8" s="70" t="n"/>
      <c r="D8" s="70" t="n"/>
      <c r="E8" s="70" t="n"/>
      <c r="F8" s="70" t="n"/>
      <c r="G8" s="70" t="n"/>
      <c r="H8" s="70" t="n"/>
    </row>
    <row r="9" ht="12" customHeight="1"/>
    <row r="10" ht="34" customHeight="1">
      <c r="A10" s="71" t="inlineStr">
        <is>
          <t xml:space="preserve">  ACTION ITEMS  ·  Red Flag Metrics  (Avg Score &lt; 2.5)  ·  Powered by FILTER formula</t>
        </is>
      </c>
    </row>
    <row r="11" ht="26" customHeight="1">
      <c r="A11" s="7" t="inlineStr">
        <is>
          <t>Metric ID</t>
        </is>
      </c>
      <c r="B11" s="7" t="inlineStr">
        <is>
          <t>Dim.</t>
        </is>
      </c>
      <c r="C11" s="7" t="inlineStr">
        <is>
          <t>Metric Name</t>
        </is>
      </c>
      <c r="D11" s="7" t="inlineStr">
        <is>
          <t>Score</t>
        </is>
      </c>
      <c r="E11" s="69" t="inlineStr">
        <is>
          <t>Recommended Action</t>
        </is>
      </c>
    </row>
    <row r="12" ht="36" customHeight="1">
      <c r="A12" s="27">
        <f>IFERROR(FILTER(Calc_Engine!$A$21:$E$32,Calc_Engine!$F$21:$F$32=TRUE,"No high-risk issues identified. All metrics meet the 2.5 threshold."),"–")</f>
        <v/>
      </c>
    </row>
    <row r="13" ht="36" customHeight="1">
      <c r="A13" s="26" t="n"/>
      <c r="B13" s="26" t="n"/>
      <c r="C13" s="26" t="n"/>
      <c r="D13" s="26" t="n"/>
      <c r="E13" s="26" t="n"/>
      <c r="F13" s="26" t="n"/>
      <c r="G13" s="26" t="n"/>
      <c r="H13" s="26" t="n"/>
    </row>
    <row r="14" ht="36" customHeight="1">
      <c r="A14" s="27" t="n"/>
      <c r="B14" s="27" t="n"/>
      <c r="C14" s="27" t="n"/>
      <c r="D14" s="27" t="n"/>
      <c r="E14" s="27" t="n"/>
      <c r="F14" s="27" t="n"/>
      <c r="G14" s="27" t="n"/>
      <c r="H14" s="27" t="n"/>
    </row>
    <row r="15" ht="36" customHeight="1">
      <c r="A15" s="26" t="n"/>
      <c r="B15" s="26" t="n"/>
      <c r="C15" s="26" t="n"/>
      <c r="D15" s="26" t="n"/>
      <c r="E15" s="26" t="n"/>
      <c r="F15" s="26" t="n"/>
      <c r="G15" s="26" t="n"/>
      <c r="H15" s="26" t="n"/>
    </row>
    <row r="16" ht="36" customHeight="1">
      <c r="A16" s="27" t="n"/>
      <c r="B16" s="27" t="n"/>
      <c r="C16" s="27" t="n"/>
      <c r="D16" s="27" t="n"/>
      <c r="E16" s="27" t="n"/>
      <c r="F16" s="27" t="n"/>
      <c r="G16" s="27" t="n"/>
      <c r="H16" s="27" t="n"/>
    </row>
    <row r="17" ht="36" customHeight="1">
      <c r="A17" s="26" t="n"/>
      <c r="B17" s="26" t="n"/>
      <c r="C17" s="26" t="n"/>
      <c r="D17" s="26" t="n"/>
      <c r="E17" s="26" t="n"/>
      <c r="F17" s="26" t="n"/>
      <c r="G17" s="26" t="n"/>
      <c r="H17" s="26" t="n"/>
    </row>
    <row r="18" ht="36" customHeight="1">
      <c r="A18" s="27" t="n"/>
      <c r="B18" s="27" t="n"/>
      <c r="C18" s="27" t="n"/>
      <c r="D18" s="27" t="n"/>
      <c r="E18" s="27" t="n"/>
      <c r="F18" s="27" t="n"/>
      <c r="G18" s="27" t="n"/>
      <c r="H18" s="27" t="n"/>
    </row>
    <row r="19" ht="36" customHeight="1">
      <c r="A19" s="26" t="n"/>
      <c r="B19" s="26" t="n"/>
      <c r="C19" s="26" t="n"/>
      <c r="D19" s="26" t="n"/>
      <c r="E19" s="26" t="n"/>
      <c r="F19" s="26" t="n"/>
      <c r="G19" s="26" t="n"/>
      <c r="H19" s="26" t="n"/>
    </row>
    <row r="20" ht="36" customHeight="1">
      <c r="A20" s="27" t="n"/>
      <c r="B20" s="27" t="n"/>
      <c r="C20" s="27" t="n"/>
      <c r="D20" s="27" t="n"/>
      <c r="E20" s="27" t="n"/>
      <c r="F20" s="27" t="n"/>
      <c r="G20" s="27" t="n"/>
      <c r="H20" s="27" t="n"/>
    </row>
    <row r="21" ht="36" customHeight="1">
      <c r="A21" s="26" t="n"/>
      <c r="B21" s="26" t="n"/>
      <c r="C21" s="26" t="n"/>
      <c r="D21" s="26" t="n"/>
      <c r="E21" s="26" t="n"/>
      <c r="F21" s="26" t="n"/>
      <c r="G21" s="26" t="n"/>
      <c r="H21" s="26" t="n"/>
    </row>
    <row r="22" ht="36" customHeight="1">
      <c r="A22" s="27" t="n"/>
      <c r="B22" s="27" t="n"/>
      <c r="C22" s="27" t="n"/>
      <c r="D22" s="27" t="n"/>
      <c r="E22" s="27" t="n"/>
      <c r="F22" s="27" t="n"/>
      <c r="G22" s="27" t="n"/>
      <c r="H22" s="27" t="n"/>
    </row>
    <row r="23" ht="12" customHeight="1"/>
    <row r="24" ht="34" customHeight="1">
      <c r="A24" s="24" t="inlineStr">
        <is>
          <t xml:space="preserve">  PERFORMANCE RADAR  ·  Actual Score vs. Industry Benchmark  (3 Dimensions)</t>
        </is>
      </c>
    </row>
    <row r="25" ht="24" customHeight="1">
      <c r="A25" s="72" t="inlineStr">
        <is>
          <t>[ BUCKET B — RADAR / SPIDER CHART ]
Chart Type:  Radar (Filled) — 3 axis categories
Category Labels:  Customer Experience  |  Operations  |  Revenue Opportunity
Series 1  'Actual Score':     Calc_Engine!E5:E7
Series 2  'Industry Benchmark':  Setup_Parameters!B14:B16
Style Guide:
  Series 1 fill = #2251FF at 30% transparency | border = #2251FF solid 1.5pt
  Series 2 fill = none | border = #888888 dashed 1pt
  Chart background = transparent | Remove chart border
  Legend position = bottom centre
How to build:
  1. Insert &gt; Chart &gt; Radar &gt; Filled Radar
  2. Select Data: set Series 1 &amp; 2 as above
  3. Apply colours from Style Guide above
  4. Resize chart to cover this placeholder area  (~A25:H44)</t>
        </is>
      </c>
    </row>
    <row r="26" ht="24" customHeight="1"/>
    <row r="27" ht="24" customHeight="1"/>
    <row r="28" ht="24" customHeight="1"/>
    <row r="29" ht="24" customHeight="1"/>
    <row r="30" ht="24" customHeight="1"/>
    <row r="31" ht="24" customHeight="1"/>
    <row r="32" ht="24" customHeight="1"/>
    <row r="33" ht="24" customHeight="1"/>
    <row r="34" ht="24" customHeight="1"/>
    <row r="35" ht="24" customHeight="1"/>
    <row r="36" ht="24" customHeight="1"/>
    <row r="37" ht="24" customHeight="1"/>
    <row r="38" ht="24" customHeight="1"/>
    <row r="39" ht="24" customHeight="1"/>
    <row r="40" ht="24" customHeight="1"/>
    <row r="41" ht="24" customHeight="1"/>
    <row r="42" ht="24" customHeight="1"/>
    <row r="43" ht="24" customHeight="1"/>
    <row r="44" ht="24" customHeight="1"/>
    <row r="45" ht="20" customHeight="1">
      <c r="A45" s="73" t="inlineStr">
        <is>
          <t>Generated by Café Audit System  ·  Confidential Diagnostic Report  ·  Not for External Distribution</t>
        </is>
      </c>
    </row>
    <row r="46" ht="22" customHeight="1"/>
    <row r="47" ht="22" customHeight="1"/>
    <row r="48" ht="22" customHeight="1"/>
    <row r="49" ht="22" customHeight="1"/>
  </sheetData>
  <mergeCells count="22">
    <mergeCell ref="G2:H2"/>
    <mergeCell ref="A24:H24"/>
    <mergeCell ref="A1:H1"/>
    <mergeCell ref="D7:F7"/>
    <mergeCell ref="A45:H45"/>
    <mergeCell ref="E11:H11"/>
    <mergeCell ref="A5:C5"/>
    <mergeCell ref="G7:H7"/>
    <mergeCell ref="D4:F4"/>
    <mergeCell ref="G6:H6"/>
    <mergeCell ref="A4:C4"/>
    <mergeCell ref="A2:B2"/>
    <mergeCell ref="C2:D2"/>
    <mergeCell ref="D5:F5"/>
    <mergeCell ref="E2:F2"/>
    <mergeCell ref="G5:H5"/>
    <mergeCell ref="G4:H4"/>
    <mergeCell ref="A25:H44"/>
    <mergeCell ref="A6:C6"/>
    <mergeCell ref="A10:H10"/>
    <mergeCell ref="A7:C7"/>
    <mergeCell ref="D6:F6"/>
  </mergeCells>
  <conditionalFormatting sqref="G5:H5">
    <cfRule type="expression" priority="1" dxfId="1">
      <formula>Calc_Engine!$B$17&gt;500</formula>
    </cfRule>
  </conditionalFormatting>
  <conditionalFormatting sqref="D5:F5">
    <cfRule type="expression" priority="2" dxfId="2">
      <formula>OR(D5="S",D5="A")</formula>
    </cfRule>
    <cfRule type="expression" priority="3" dxfId="1">
      <formula>D5="F"</formula>
    </cfRule>
  </conditionalFormatting>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2026-06-03T12:01:42Z</dcterms:created>
  <dcterms:modified xmlns:dcterms="http://purl.org/dc/terms/" xmlns:xsi="http://www.w3.org/2001/XMLSchema-instance" xsi:type="dcterms:W3CDTF">2026-06-03T12:01:43Z</dcterms:modified>
</cp:coreProperties>
</file>